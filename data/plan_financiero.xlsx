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dyd\Documents\MisProyectos.IA\lead_validation_dashboard\data\"/>
    </mc:Choice>
  </mc:AlternateContent>
  <xr:revisionPtr revIDLastSave="0" documentId="13_ncr:1_{57E76320-0888-4A31-B568-64E9D245D90C}" xr6:coauthVersionLast="47" xr6:coauthVersionMax="47" xr10:uidLastSave="{00000000-0000-0000-0000-000000000000}"/>
  <bookViews>
    <workbookView xWindow="-108" yWindow="-108" windowWidth="23256" windowHeight="12720" firstSheet="2" activeTab="4" xr2:uid="{00000000-000D-0000-FFFF-FFFF00000000}"/>
  </bookViews>
  <sheets>
    <sheet name="Inversion Inicial" sheetId="1" r:id="rId1"/>
    <sheet name="Costes Fijos" sheetId="2" r:id="rId2"/>
    <sheet name="Escenarios" sheetId="3" r:id="rId3"/>
    <sheet name="Desglose por escenarios" sheetId="7" r:id="rId4"/>
    <sheet name="Proyección por Escenarios" sheetId="8" r:id="rId5"/>
    <sheet name="Suma de Ingresos Total Años " sheetId="9" r:id="rId6"/>
    <sheet name="ROI" sheetId="10" r:id="rId7"/>
    <sheet name="Proyeccion 12 meses" sheetId="6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E4" i="8" s="1"/>
  <c r="C4" i="8"/>
  <c r="B4" i="8"/>
  <c r="D3" i="8"/>
  <c r="E3" i="8" s="1"/>
  <c r="C3" i="8"/>
  <c r="B3" i="8"/>
  <c r="D2" i="8"/>
  <c r="C2" i="8"/>
  <c r="B2" i="8"/>
  <c r="B7" i="7"/>
  <c r="B6" i="7"/>
  <c r="E3" i="6"/>
  <c r="E2" i="6"/>
  <c r="B4" i="2"/>
  <c r="B5" i="1"/>
  <c r="E2" i="8" l="1"/>
  <c r="O2" i="8"/>
  <c r="F2" i="8"/>
  <c r="G2" i="8" s="1"/>
  <c r="P2" i="8"/>
  <c r="P4" i="8"/>
  <c r="O4" i="8"/>
  <c r="F4" i="8"/>
  <c r="G4" i="8" s="1"/>
  <c r="F3" i="8"/>
  <c r="G3" i="8" s="1"/>
  <c r="P3" i="8"/>
  <c r="O3" i="8"/>
  <c r="C4" i="6"/>
  <c r="E4" i="6" s="1"/>
  <c r="C5" i="6"/>
  <c r="E5" i="6" s="1"/>
  <c r="C6" i="6"/>
  <c r="E6" i="6" s="1"/>
  <c r="C12" i="6"/>
  <c r="E12" i="6" s="1"/>
  <c r="C7" i="6"/>
  <c r="E7" i="6" s="1"/>
  <c r="C8" i="6"/>
  <c r="E8" i="6" s="1"/>
  <c r="C13" i="6"/>
  <c r="C9" i="6"/>
  <c r="E9" i="6" s="1"/>
  <c r="C10" i="6"/>
  <c r="E10" i="6" s="1"/>
  <c r="C11" i="6"/>
  <c r="E11" i="6" s="1"/>
  <c r="E13" i="6"/>
  <c r="B6" i="1"/>
  <c r="B7" i="1" s="1"/>
  <c r="H3" i="8" l="1"/>
  <c r="I3" i="8"/>
  <c r="J3" i="8" s="1"/>
  <c r="H4" i="8"/>
  <c r="I4" i="8" s="1"/>
  <c r="J4" i="8" s="1"/>
  <c r="H2" i="8"/>
  <c r="I2" i="8" s="1"/>
  <c r="J2" i="8" s="1"/>
  <c r="D3" i="6"/>
  <c r="F3" i="6" s="1"/>
  <c r="D4" i="6"/>
  <c r="F4" i="6" s="1"/>
  <c r="D5" i="6"/>
  <c r="F5" i="6" s="1"/>
  <c r="D6" i="6"/>
  <c r="F6" i="6" s="1"/>
  <c r="D7" i="6"/>
  <c r="F7" i="6" s="1"/>
  <c r="D10" i="6"/>
  <c r="F10" i="6" s="1"/>
  <c r="D12" i="6"/>
  <c r="F12" i="6" s="1"/>
  <c r="D13" i="6"/>
  <c r="F13" i="6" s="1"/>
  <c r="D2" i="6"/>
  <c r="F2" i="6" s="1"/>
  <c r="G2" i="6" s="1"/>
  <c r="D8" i="6"/>
  <c r="F8" i="6" s="1"/>
  <c r="D11" i="6"/>
  <c r="F11" i="6" s="1"/>
  <c r="D9" i="6"/>
  <c r="F9" i="6" s="1"/>
  <c r="K4" i="8" l="1"/>
  <c r="L4" i="8" s="1"/>
  <c r="K3" i="8"/>
  <c r="L3" i="8" s="1"/>
  <c r="K2" i="8"/>
  <c r="L2" i="8" s="1"/>
  <c r="G3" i="6"/>
  <c r="G4" i="6" s="1"/>
  <c r="G5" i="6" s="1"/>
  <c r="G6" i="6" s="1"/>
  <c r="G7" i="6" s="1"/>
  <c r="G8" i="6" s="1"/>
  <c r="G9" i="6" s="1"/>
  <c r="G10" i="6" s="1"/>
  <c r="G11" i="6" s="1"/>
  <c r="G12" i="6" s="1"/>
  <c r="G13" i="6" s="1"/>
  <c r="M2" i="8" l="1"/>
  <c r="N2" i="8"/>
  <c r="N3" i="8"/>
  <c r="M3" i="8"/>
  <c r="N4" i="8"/>
  <c r="M4" i="8"/>
</calcChain>
</file>

<file path=xl/sharedStrings.xml><?xml version="1.0" encoding="utf-8"?>
<sst xmlns="http://schemas.openxmlformats.org/spreadsheetml/2006/main" count="77" uniqueCount="61">
  <si>
    <t>Concepto</t>
  </si>
  <si>
    <t>Valor (€)</t>
  </si>
  <si>
    <t>Valor anual (€)</t>
  </si>
  <si>
    <t>Hosting/Web</t>
  </si>
  <si>
    <t>Total Costes Fijos</t>
  </si>
  <si>
    <t>Conservador</t>
  </si>
  <si>
    <t>Realista</t>
  </si>
  <si>
    <t>Premium</t>
  </si>
  <si>
    <t>Mes</t>
  </si>
  <si>
    <t>Costes Fijos (€)</t>
  </si>
  <si>
    <t>Beneficio (€)</t>
  </si>
  <si>
    <t>Beneficio Acumulado (€)</t>
  </si>
  <si>
    <t>Fondo de maniobra</t>
  </si>
  <si>
    <t>Contingencia 10%</t>
  </si>
  <si>
    <t>Selección del Account Manager</t>
  </si>
  <si>
    <t>Lead Magnet + diseño de materiales y traducción</t>
  </si>
  <si>
    <t>Subtotal</t>
  </si>
  <si>
    <t>Total inversión inicial</t>
  </si>
  <si>
    <t>Escenario Conservador</t>
  </si>
  <si>
    <t>Escenario Optimista</t>
  </si>
  <si>
    <t>Optimista</t>
  </si>
  <si>
    <t>Target de clientes primer año</t>
  </si>
  <si>
    <t>Ingreso Total Mes</t>
  </si>
  <si>
    <t>Ingreso Total Año</t>
  </si>
  <si>
    <t>Escenarios</t>
  </si>
  <si>
    <t>Etiquetas de fila</t>
  </si>
  <si>
    <t>Total general</t>
  </si>
  <si>
    <t>Suma de Ingreso Total Año</t>
  </si>
  <si>
    <t>Etiquetas de columna</t>
  </si>
  <si>
    <t>Total Suma de Ingreso Total Año</t>
  </si>
  <si>
    <t xml:space="preserve">Escenario Realista: </t>
  </si>
  <si>
    <t>COGS</t>
  </si>
  <si>
    <t>Basic</t>
  </si>
  <si>
    <t>Lite</t>
  </si>
  <si>
    <t>Margen Bruto</t>
  </si>
  <si>
    <t>KAM</t>
  </si>
  <si>
    <t>EBIT</t>
  </si>
  <si>
    <t>Impuesto</t>
  </si>
  <si>
    <t>Resultado Neto</t>
  </si>
  <si>
    <t>ROI</t>
  </si>
  <si>
    <t>Inversión Inicial</t>
  </si>
  <si>
    <t>Costes Fijos Anuales</t>
  </si>
  <si>
    <t>Precio ponderdo mes por cliente</t>
  </si>
  <si>
    <t>Suma de Margen Bruto</t>
  </si>
  <si>
    <t>Suma de Resultado Neto</t>
  </si>
  <si>
    <t>Suma de ROI</t>
  </si>
  <si>
    <t>Total Suma de Margen Bruto</t>
  </si>
  <si>
    <t>Total Suma de Resultado Neto</t>
  </si>
  <si>
    <t xml:space="preserve">Precio basic </t>
  </si>
  <si>
    <t xml:space="preserve">Precio lite </t>
  </si>
  <si>
    <t>Payback Meses</t>
  </si>
  <si>
    <t>Costes Variables (€)</t>
  </si>
  <si>
    <t>Ingresos (€) Cuota mensual cliente</t>
  </si>
  <si>
    <t>Clientes Acumulativos</t>
  </si>
  <si>
    <t>Clientes BE operativo Mes</t>
  </si>
  <si>
    <t>Clientes BE Total Mes</t>
  </si>
  <si>
    <t xml:space="preserve">Pack basic </t>
  </si>
  <si>
    <t xml:space="preserve">Pack lite </t>
  </si>
  <si>
    <t>Pack premium</t>
  </si>
  <si>
    <t>Precio premium</t>
  </si>
  <si>
    <t>Cifra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</si>
</sst>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39997558519241921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1" fillId="3" borderId="0" applyNumberFormat="0" applyBorder="0" applyAlignment="0" applyProtection="0"/>
  </cellStyleXfs>
  <cellXfs count="18">
    <xf numFmtId="0" fontId="0" fillId="0" borderId="0" xfId="0"/>
    <xf numFmtId="3" fontId="0" fillId="0" borderId="0" xfId="0" applyNumberForma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  <xf numFmtId="0" fontId="2" fillId="0" borderId="1" xfId="2"/>
    <xf numFmtId="3" fontId="2" fillId="0" borderId="1" xfId="2" applyNumberFormat="1"/>
    <xf numFmtId="9" fontId="0" fillId="0" borderId="0" xfId="1" applyFont="1"/>
    <xf numFmtId="164" fontId="0" fillId="0" borderId="0" xfId="0" applyNumberFormat="1"/>
    <xf numFmtId="1" fontId="0" fillId="0" borderId="0" xfId="0" applyNumberFormat="1"/>
    <xf numFmtId="0" fontId="3" fillId="2" borderId="2" xfId="3"/>
    <xf numFmtId="3" fontId="3" fillId="2" borderId="2" xfId="3" applyNumberFormat="1"/>
    <xf numFmtId="0" fontId="5" fillId="3" borderId="0" xfId="4" applyFont="1"/>
    <xf numFmtId="9" fontId="5" fillId="3" borderId="0" xfId="4" applyNumberFormat="1" applyFont="1"/>
    <xf numFmtId="2" fontId="0" fillId="0" borderId="0" xfId="0" applyNumberFormat="1"/>
    <xf numFmtId="0" fontId="0" fillId="0" borderId="0" xfId="0" applyNumberFormat="1"/>
  </cellXfs>
  <cellStyles count="5">
    <cellStyle name="60% - Énfasis6" xfId="4" builtinId="52"/>
    <cellStyle name="Cálculo" xfId="3" builtinId="22"/>
    <cellStyle name="Normal" xfId="0" builtinId="0"/>
    <cellStyle name="Porcentaje" xfId="1" builtinId="5"/>
    <cellStyle name="Título 2" xfId="2" builtinId="17"/>
  </cellStyles>
  <dxfs count="31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0.0"/>
    </dxf>
    <dxf>
      <numFmt numFmtId="164" formatCode="0.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y Demon" refreshedDate="46002.609339699076" createdVersion="8" refreshedVersion="8" minRefreshableVersion="3" recordCount="3" xr:uid="{16603C49-813D-44C3-9A88-9D4419861FCB}">
  <cacheSource type="worksheet">
    <worksheetSource name="Tabla1"/>
  </cacheSource>
  <cacheFields count="16">
    <cacheField name="Escenarios" numFmtId="0">
      <sharedItems count="3">
        <s v="Conservador"/>
        <s v="Realista"/>
        <s v="Optimista"/>
      </sharedItems>
    </cacheField>
    <cacheField name="P_basic " numFmtId="0">
      <sharedItems containsSemiMixedTypes="0" containsString="0" containsNumber="1" containsInteger="1" minValue="2060" maxValue="6180"/>
    </cacheField>
    <cacheField name="P_lite " numFmtId="0">
      <sharedItems containsSemiMixedTypes="0" containsString="0" containsNumber="1" containsInteger="1" minValue="4170" maxValue="5560"/>
    </cacheField>
    <cacheField name="P_prem" numFmtId="0">
      <sharedItems containsSemiMixedTypes="0" containsString="0" containsNumber="1" containsInteger="1" minValue="1744" maxValue="6976"/>
    </cacheField>
    <cacheField name="Precio ponderdo mes por cliente" numFmtId="0">
      <sharedItems containsSemiMixedTypes="0" containsString="0" containsNumber="1" containsInteger="1" minValue="12094" maxValue="14596"/>
    </cacheField>
    <cacheField name="Ingreso Total Mes" numFmtId="0">
      <sharedItems containsSemiMixedTypes="0" containsString="0" containsNumber="1" containsInteger="1" minValue="36282" maxValue="43788"/>
    </cacheField>
    <cacheField name="Ingreso Total Año" numFmtId="0">
      <sharedItems containsSemiMixedTypes="0" containsString="0" containsNumber="1" containsInteger="1" minValue="435384" maxValue="525456"/>
    </cacheField>
    <cacheField name="COGS" numFmtId="0">
      <sharedItems containsSemiMixedTypes="0" containsString="0" containsNumber="1" minValue="326538" maxValue="341546.4"/>
    </cacheField>
    <cacheField name="Margen Bruto" numFmtId="0">
      <sharedItems containsSemiMixedTypes="0" containsString="0" containsNumber="1" minValue="108846" maxValue="183909.59999999998"/>
    </cacheField>
    <cacheField name="EBIT" numFmtId="0">
      <sharedItems containsSemiMixedTypes="0" containsString="0" containsNumber="1" minValue="68726" maxValue="143789.59999999998"/>
    </cacheField>
    <cacheField name="Impuesto" numFmtId="0">
      <sharedItems containsSemiMixedTypes="0" containsString="0" containsNumber="1" minValue="17181.5" maxValue="35947.399999999994"/>
    </cacheField>
    <cacheField name="Resultado Neto" numFmtId="0">
      <sharedItems containsSemiMixedTypes="0" containsString="0" containsNumber="1" minValue="51544.5" maxValue="229886.55000000002" count="6">
        <n v="51544.5"/>
        <n v="76570.800000000017"/>
        <n v="107842.19999999998"/>
        <n v="136057.04999999999" u="1"/>
        <n v="177767.55" u="1"/>
        <n v="229886.55000000002" u="1"/>
      </sharedItems>
    </cacheField>
    <cacheField name="ROI" numFmtId="9">
      <sharedItems containsSemiMixedTypes="0" containsString="0" containsNumber="1" minValue="2.1794714587737842" maxValue="4.5599238900634242"/>
    </cacheField>
    <cacheField name="Payback Años" numFmtId="1">
      <sharedItems containsSemiMixedTypes="0" containsString="0" containsNumber="1" containsInteger="1" minValue="3" maxValue="6"/>
    </cacheField>
    <cacheField name="Clientes BE operativo" numFmtId="164">
      <sharedItems containsSemiMixedTypes="0" containsString="0" containsNumber="1" minValue="0.65445196988085452" maxValue="1.1057824816713522"/>
    </cacheField>
    <cacheField name="Clientes BE Total" numFmtId="164">
      <sharedItems containsSemiMixedTypes="0" containsString="0" containsNumber="1" minValue="1.0402393349776196" maxValue="1.75762085882806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6180"/>
    <n v="4170"/>
    <n v="1744"/>
    <n v="12094"/>
    <n v="36282"/>
    <n v="435384"/>
    <n v="326538"/>
    <n v="108846"/>
    <n v="68726"/>
    <n v="17181.5"/>
    <x v="0"/>
    <n v="2.1794714587737842"/>
    <n v="6"/>
    <n v="1.1057824816713522"/>
    <n v="1.7576208588280691"/>
  </r>
  <r>
    <x v="1"/>
    <n v="4120"/>
    <n v="5560"/>
    <n v="3488"/>
    <n v="13168"/>
    <n v="39504"/>
    <n v="474048"/>
    <n v="331833.59999999998"/>
    <n v="142214.40000000002"/>
    <n v="102094.40000000002"/>
    <n v="25523.600000000006"/>
    <x v="1"/>
    <n v="3.2376659619450323"/>
    <n v="4"/>
    <n v="0.84632779802889135"/>
    <n v="1.34522242473336"/>
  </r>
  <r>
    <x v="2"/>
    <n v="2060"/>
    <n v="5560"/>
    <n v="6976"/>
    <n v="14596"/>
    <n v="43788"/>
    <n v="525456"/>
    <n v="341546.4"/>
    <n v="183909.59999999998"/>
    <n v="143789.59999999998"/>
    <n v="35947.399999999994"/>
    <x v="2"/>
    <n v="4.5599238900634242"/>
    <n v="3"/>
    <n v="0.65445196988085452"/>
    <n v="1.04023933497761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23818-95CE-4459-A6F2-0CCC0412A4D2}" name="TablaDinámica2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:L4" firstHeaderRow="1" firstDataRow="3" firstDataCol="0"/>
  <pivotFields count="16"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numFmtId="9" showAll="0"/>
    <pivotField numFmtId="1" showAll="0"/>
    <pivotField numFmtId="164" showAll="0"/>
    <pivotField numFmtId="164" showAll="0"/>
  </pivotFields>
  <rowItems count="1">
    <i/>
  </rowItems>
  <colFields count="2">
    <field x="0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a de Ingreso Total Año" fld="6" baseField="0" baseItem="0"/>
    <dataField name="Suma de Margen Bruto" fld="8" baseField="0" baseItem="0"/>
    <dataField name="Suma de Resultado Neto" fld="11" baseField="0" baseItem="0"/>
  </dataFields>
  <formats count="4">
    <format dxfId="0">
      <pivotArea dataOnly="0" labelOnly="1" fieldPosition="0">
        <references count="1">
          <reference field="0" count="0"/>
        </references>
      </pivotArea>
    </format>
    <format dxfId="1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</formats>
  <chartFormats count="12">
    <chartFormat chart="0" format="4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E4955C-5C0C-4F2D-8D58-786862EB833A}" name="TablaDinámica2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:B8" firstHeaderRow="1" firstDataRow="1" firstDataCol="1"/>
  <pivotFields count="16"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m="1" x="3"/>
        <item m="1" x="4"/>
        <item m="1" x="5"/>
        <item x="0"/>
        <item x="1"/>
        <item x="2"/>
        <item t="default"/>
      </items>
    </pivotField>
    <pivotField dataField="1" numFmtId="9" showAll="0"/>
    <pivotField numFmtId="1" showAll="0"/>
    <pivotField numFmtId="164" showAll="0"/>
    <pivotField numFmtId="164" showAll="0"/>
  </pivotFields>
  <rowFields count="2">
    <field x="11"/>
    <field x="0"/>
  </rowFields>
  <rowItems count="7">
    <i>
      <x v="3"/>
    </i>
    <i r="1">
      <x/>
    </i>
    <i>
      <x v="4"/>
    </i>
    <i r="1">
      <x v="2"/>
    </i>
    <i>
      <x v="5"/>
    </i>
    <i r="1">
      <x v="1"/>
    </i>
    <i t="grand">
      <x/>
    </i>
  </rowItems>
  <colItems count="1">
    <i/>
  </colItems>
  <dataFields count="1">
    <dataField name="Suma de ROI" fld="12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C4C3D4-0C4E-48E1-BB3A-395C589FB965}" name="Tabla1" displayName="Tabla1" ref="A1:P4" totalsRowShown="0" headerRowDxfId="17">
  <tableColumns count="16">
    <tableColumn id="1" xr3:uid="{42C6BFB4-A8E4-4ABB-8E64-4F1B35C393B0}" name="Escenarios" dataDxfId="16"/>
    <tableColumn id="2" xr3:uid="{C47211FB-5CB9-41B4-92D5-13DB60702DC5}" name="Pack basic "/>
    <tableColumn id="3" xr3:uid="{CCC9BE8B-BAE3-4BD8-98E2-1ABAA69EA647}" name="Pack lite "/>
    <tableColumn id="4" xr3:uid="{922EB3C2-0107-4D74-B7D5-383652DE4781}" name="Pack premium"/>
    <tableColumn id="5" xr3:uid="{E205B50B-0D6B-4071-A57A-9A5B5BA5A7EC}" name="Precio ponderdo mes por cliente">
      <calculatedColumnFormula>B2+C2+D2</calculatedColumnFormula>
    </tableColumn>
    <tableColumn id="6" xr3:uid="{B7812136-E644-46B6-BCED-850CA3A86313}" name="Ingreso Total Mes"/>
    <tableColumn id="7" xr3:uid="{92A08370-69E7-44B7-9F63-FFBA46E91DB5}" name="Ingreso Total Año">
      <calculatedColumnFormula>F2*12</calculatedColumnFormula>
    </tableColumn>
    <tableColumn id="8" xr3:uid="{A7510603-255E-43E3-8385-3C36410910DB}" name="COGS" dataDxfId="15">
      <calculatedColumnFormula>Tabla1[[#This Row],[Ingreso Total Año]]*Escenarios!E2</calculatedColumnFormula>
    </tableColumn>
    <tableColumn id="9" xr3:uid="{53FDBE4B-0ECA-4EA8-9286-CA93669975FF}" name="Margen Bruto" dataDxfId="14">
      <calculatedColumnFormula>Tabla1[[#This Row],[Ingreso Total Año]]-Tabla1[[#This Row],[COGS]]</calculatedColumnFormula>
    </tableColumn>
    <tableColumn id="10" xr3:uid="{E2B0EAC3-4B2A-4598-BA49-D5A6909B15AF}" name="EBIT" dataDxfId="13">
      <calculatedColumnFormula>Tabla1[[#This Row],[Margen Bruto]]-'Desglose por escenarios'!B$7</calculatedColumnFormula>
    </tableColumn>
    <tableColumn id="11" xr3:uid="{ED9EEED8-2C6F-4744-873D-324FE62FB4A8}" name="Impuesto" dataDxfId="12">
      <calculatedColumnFormula>0.25*Tabla1[[#This Row],[EBIT]]</calculatedColumnFormula>
    </tableColumn>
    <tableColumn id="12" xr3:uid="{3473BC15-8A5E-4BB1-994B-5D2FE1474247}" name="Resultado Neto" dataDxfId="11">
      <calculatedColumnFormula>Tabla1[[#This Row],[EBIT]]-Tabla1[[#This Row],[Impuesto]]</calculatedColumnFormula>
    </tableColumn>
    <tableColumn id="13" xr3:uid="{59ABD16D-518B-42B2-B2B7-60E2CC847195}" name="ROI" dataCellStyle="Porcentaje">
      <calculatedColumnFormula>Tabla1[[#This Row],[Resultado Neto]]/'Desglose por escenarios'!B$6</calculatedColumnFormula>
    </tableColumn>
    <tableColumn id="14" xr3:uid="{B2BC2415-BAD9-4DB7-AF01-31F2F3626786}" name="Payback Meses" dataDxfId="10">
      <calculatedColumnFormula>ROUND(('Desglose por escenarios'!B$6/Tabla1[[#This Row],[Resultado Neto]])*12,0)</calculatedColumnFormula>
    </tableColumn>
    <tableColumn id="15" xr3:uid="{247EC576-D924-41FC-ABD5-D2AD6652329F}" name="Clientes BE operativo Mes" dataDxfId="9">
      <calculatedColumnFormula>'Costes Fijos'!B$4/((Tabla1[[#This Row],[Precio ponderdo mes por cliente]]*12)*(1-Escenarios!E2))</calculatedColumnFormula>
    </tableColumn>
    <tableColumn id="16" xr3:uid="{3E5C9D65-A3ED-4EF1-B01A-19BC61959858}" name="Clientes BE Total Mes" dataDxfId="8">
      <calculatedColumnFormula>('Desglose por escenarios'!B$7+'Desglose por escenarios'!B$6)/((Tabla1[[#This Row],[Precio ponderdo mes por cliente]]*12)*(1-Escenarios!E2))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20ED45-B1A1-42BD-9FF9-649C99316527}" name="Tabla4" displayName="Tabla4" ref="A1:G13" totalsRowShown="0">
  <tableColumns count="7">
    <tableColumn id="1" xr3:uid="{17A04FDE-30B3-4B84-8568-BF7F0FA0BD78}" name="Mes"/>
    <tableColumn id="2" xr3:uid="{C3726B1C-F6AD-4BDE-BB51-96EC17BC199A}" name="Clientes Acumulativos"/>
    <tableColumn id="3" xr3:uid="{77443033-16D1-420B-B778-7A1D744EA93D}" name="Ingresos (€) Cuota mensual cliente" dataDxfId="22">
      <calculatedColumnFormula>'Proyección por Escenarios'!E$2*B2</calculatedColumnFormula>
    </tableColumn>
    <tableColumn id="4" xr3:uid="{95E98E75-FE7A-4998-80FF-001083E5E3E3}" name="Costes Fijos (€)" dataDxfId="21">
      <calculatedColumnFormula>'Desglose por escenarios'!B$7/12</calculatedColumnFormula>
    </tableColumn>
    <tableColumn id="5" xr3:uid="{535E325B-97C4-45DB-ADB9-52270C812C6B}" name="Costes Variables (€)" dataDxfId="20">
      <calculatedColumnFormula>C2*0.75</calculatedColumnFormula>
    </tableColumn>
    <tableColumn id="6" xr3:uid="{567D7215-4719-4CFD-9E93-56CE0878DF11}" name="Beneficio (€)" dataDxfId="19">
      <calculatedColumnFormula>C2-D2-E2</calculatedColumnFormula>
    </tableColumn>
    <tableColumn id="7" xr3:uid="{B29F2B85-0CA2-432A-9B07-46F8501E5AC8}" name="Beneficio Acumulado (€)" dataDxfId="18">
      <calculatedColumnFormula>F1+G1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C15" sqref="C15"/>
    </sheetView>
  </sheetViews>
  <sheetFormatPr baseColWidth="10" defaultColWidth="8.88671875" defaultRowHeight="14.4" x14ac:dyDescent="0.3"/>
  <cols>
    <col min="1" max="1" width="51.6640625" bestFit="1" customWidth="1"/>
    <col min="2" max="2" width="9.77734375" bestFit="1" customWidth="1"/>
    <col min="4" max="4" width="28.109375" bestFit="1" customWidth="1"/>
    <col min="5" max="5" width="10.109375" bestFit="1" customWidth="1"/>
  </cols>
  <sheetData>
    <row r="1" spans="1:3" ht="18" thickBot="1" x14ac:dyDescent="0.4">
      <c r="A1" s="7" t="s">
        <v>0</v>
      </c>
      <c r="B1" s="7" t="s">
        <v>1</v>
      </c>
    </row>
    <row r="2" spans="1:3" ht="18.600000000000001" thickTop="1" thickBot="1" x14ac:dyDescent="0.4">
      <c r="A2" s="7" t="s">
        <v>14</v>
      </c>
      <c r="B2" s="8">
        <v>0</v>
      </c>
    </row>
    <row r="3" spans="1:3" ht="18.600000000000001" thickTop="1" thickBot="1" x14ac:dyDescent="0.4">
      <c r="A3" s="7" t="s">
        <v>15</v>
      </c>
      <c r="B3" s="8">
        <v>1400</v>
      </c>
    </row>
    <row r="4" spans="1:3" ht="18.600000000000001" thickTop="1" thickBot="1" x14ac:dyDescent="0.4">
      <c r="A4" s="7" t="s">
        <v>12</v>
      </c>
      <c r="B4" s="7">
        <v>20000</v>
      </c>
      <c r="C4" s="1"/>
    </row>
    <row r="5" spans="1:3" ht="18.600000000000001" thickTop="1" thickBot="1" x14ac:dyDescent="0.4">
      <c r="A5" s="7" t="s">
        <v>16</v>
      </c>
      <c r="B5" s="8">
        <f>B2+B3+B4</f>
        <v>21400</v>
      </c>
    </row>
    <row r="6" spans="1:3" ht="18.600000000000001" thickTop="1" thickBot="1" x14ac:dyDescent="0.4">
      <c r="A6" s="7" t="s">
        <v>13</v>
      </c>
      <c r="B6" s="7">
        <f>0.1*B5</f>
        <v>2140</v>
      </c>
    </row>
    <row r="7" spans="1:3" ht="18.600000000000001" thickTop="1" thickBot="1" x14ac:dyDescent="0.4">
      <c r="A7" s="7" t="s">
        <v>17</v>
      </c>
      <c r="B7" s="8">
        <f>B5+B6</f>
        <v>23540</v>
      </c>
    </row>
    <row r="8" spans="1:3" ht="15" thickTop="1" x14ac:dyDescent="0.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15.21875" bestFit="1" customWidth="1"/>
    <col min="2" max="2" width="12.7773437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3</v>
      </c>
      <c r="B2">
        <v>0</v>
      </c>
    </row>
    <row r="3" spans="1:2" x14ac:dyDescent="0.3">
      <c r="A3" t="s">
        <v>35</v>
      </c>
      <c r="B3">
        <v>40000</v>
      </c>
    </row>
    <row r="4" spans="1:2" x14ac:dyDescent="0.3">
      <c r="A4" t="s">
        <v>4</v>
      </c>
      <c r="B4">
        <f>B2+B3</f>
        <v>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zoomScale="48" zoomScaleNormal="70" workbookViewId="0">
      <selection activeCell="E49" sqref="E49"/>
    </sheetView>
  </sheetViews>
  <sheetFormatPr baseColWidth="10" defaultColWidth="8.88671875" defaultRowHeight="14.4" x14ac:dyDescent="0.3"/>
  <cols>
    <col min="1" max="1" width="35.5546875" bestFit="1" customWidth="1"/>
    <col min="2" max="2" width="9.88671875" bestFit="1" customWidth="1"/>
    <col min="3" max="3" width="7.77734375" bestFit="1" customWidth="1"/>
    <col min="4" max="4" width="14.6640625" bestFit="1" customWidth="1"/>
    <col min="5" max="5" width="10.77734375" bestFit="1" customWidth="1"/>
    <col min="6" max="9" width="28.109375" bestFit="1" customWidth="1"/>
    <col min="10" max="10" width="41.5546875" bestFit="1" customWidth="1"/>
    <col min="11" max="11" width="36.44140625" bestFit="1" customWidth="1"/>
    <col min="12" max="12" width="39" bestFit="1" customWidth="1"/>
    <col min="13" max="13" width="25.5546875" bestFit="1" customWidth="1"/>
    <col min="14" max="14" width="28.6640625" bestFit="1" customWidth="1"/>
    <col min="15" max="15" width="26.88671875" bestFit="1" customWidth="1"/>
    <col min="16" max="16" width="29" bestFit="1" customWidth="1"/>
    <col min="17" max="17" width="37" bestFit="1" customWidth="1"/>
    <col min="18" max="18" width="34.77734375" bestFit="1" customWidth="1"/>
    <col min="19" max="19" width="21.77734375" bestFit="1" customWidth="1"/>
    <col min="20" max="20" width="27.44140625" bestFit="1" customWidth="1"/>
    <col min="21" max="21" width="34.77734375" bestFit="1" customWidth="1"/>
    <col min="22" max="22" width="21.77734375" bestFit="1" customWidth="1"/>
    <col min="23" max="23" width="27.44140625" bestFit="1" customWidth="1"/>
    <col min="24" max="24" width="26.21875" bestFit="1" customWidth="1"/>
  </cols>
  <sheetData>
    <row r="1" spans="1:6" ht="18" x14ac:dyDescent="0.35">
      <c r="A1" s="14" t="s">
        <v>24</v>
      </c>
      <c r="B1" s="14" t="s">
        <v>32</v>
      </c>
      <c r="C1" s="14" t="s">
        <v>33</v>
      </c>
      <c r="D1" s="14" t="s">
        <v>7</v>
      </c>
      <c r="E1" s="14" t="s">
        <v>31</v>
      </c>
      <c r="F1" s="14"/>
    </row>
    <row r="2" spans="1:6" ht="18" x14ac:dyDescent="0.35">
      <c r="A2" s="14" t="s">
        <v>18</v>
      </c>
      <c r="B2" s="15">
        <v>0.6</v>
      </c>
      <c r="C2" s="15">
        <v>0.3</v>
      </c>
      <c r="D2" s="15">
        <v>0.1</v>
      </c>
      <c r="E2" s="15">
        <v>0.75</v>
      </c>
      <c r="F2" s="14"/>
    </row>
    <row r="3" spans="1:6" ht="18" x14ac:dyDescent="0.35">
      <c r="A3" s="14" t="s">
        <v>30</v>
      </c>
      <c r="B3" s="15">
        <v>0.4</v>
      </c>
      <c r="C3" s="15">
        <v>0.4</v>
      </c>
      <c r="D3" s="15">
        <v>0.2</v>
      </c>
      <c r="E3" s="15">
        <v>0.7</v>
      </c>
      <c r="F3" s="14"/>
    </row>
    <row r="4" spans="1:6" ht="18" x14ac:dyDescent="0.35">
      <c r="A4" s="14" t="s">
        <v>19</v>
      </c>
      <c r="B4" s="15">
        <v>0.2</v>
      </c>
      <c r="C4" s="15">
        <v>0.4</v>
      </c>
      <c r="D4" s="15">
        <v>0.4</v>
      </c>
      <c r="E4" s="15">
        <v>0.65</v>
      </c>
      <c r="F4" s="1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1FBA-DE66-44E3-AFA7-11BBA2A9F28C}">
  <dimension ref="A1:B7"/>
  <sheetViews>
    <sheetView workbookViewId="0">
      <selection activeCell="A14" sqref="A14"/>
    </sheetView>
  </sheetViews>
  <sheetFormatPr baseColWidth="10" defaultRowHeight="14.4" x14ac:dyDescent="0.3"/>
  <cols>
    <col min="1" max="1" width="25.5546875" bestFit="1" customWidth="1"/>
  </cols>
  <sheetData>
    <row r="1" spans="1:2" x14ac:dyDescent="0.3">
      <c r="A1" t="s">
        <v>0</v>
      </c>
      <c r="B1" t="s">
        <v>60</v>
      </c>
    </row>
    <row r="2" spans="1:2" x14ac:dyDescent="0.3">
      <c r="A2" s="12" t="s">
        <v>48</v>
      </c>
      <c r="B2" s="13">
        <v>10300</v>
      </c>
    </row>
    <row r="3" spans="1:2" x14ac:dyDescent="0.3">
      <c r="A3" s="12" t="s">
        <v>49</v>
      </c>
      <c r="B3" s="13">
        <v>13900</v>
      </c>
    </row>
    <row r="4" spans="1:2" x14ac:dyDescent="0.3">
      <c r="A4" s="12" t="s">
        <v>59</v>
      </c>
      <c r="B4" s="13">
        <v>17440</v>
      </c>
    </row>
    <row r="5" spans="1:2" x14ac:dyDescent="0.3">
      <c r="A5" s="12" t="s">
        <v>21</v>
      </c>
      <c r="B5" s="13">
        <v>8</v>
      </c>
    </row>
    <row r="6" spans="1:2" x14ac:dyDescent="0.3">
      <c r="A6" s="12" t="s">
        <v>40</v>
      </c>
      <c r="B6" s="13">
        <f>'Inversion Inicial'!B7</f>
        <v>23540</v>
      </c>
    </row>
    <row r="7" spans="1:2" x14ac:dyDescent="0.3">
      <c r="A7" s="12" t="s">
        <v>41</v>
      </c>
      <c r="B7" s="12">
        <f>'Costes Fijos'!B4</f>
        <v>40000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DDAF-099D-4DE5-A7F4-B877688921C8}">
  <dimension ref="A1:P4"/>
  <sheetViews>
    <sheetView tabSelected="1" workbookViewId="0">
      <selection activeCell="D22" sqref="D22"/>
    </sheetView>
  </sheetViews>
  <sheetFormatPr baseColWidth="10" defaultRowHeight="14.4" x14ac:dyDescent="0.3"/>
  <cols>
    <col min="1" max="1" width="11.6640625" bestFit="1" customWidth="1"/>
    <col min="2" max="2" width="10.109375" bestFit="1" customWidth="1"/>
    <col min="3" max="3" width="8.44140625" bestFit="1" customWidth="1"/>
    <col min="4" max="4" width="13.109375" bestFit="1" customWidth="1"/>
    <col min="5" max="5" width="28.5546875" bestFit="1" customWidth="1"/>
    <col min="6" max="6" width="15.88671875" bestFit="1" customWidth="1"/>
    <col min="7" max="7" width="15.77734375" bestFit="1" customWidth="1"/>
    <col min="8" max="8" width="9" bestFit="1" customWidth="1"/>
    <col min="9" max="9" width="12.6640625" bestFit="1" customWidth="1"/>
    <col min="10" max="11" width="9" bestFit="1" customWidth="1"/>
    <col min="12" max="12" width="13.88671875" bestFit="1" customWidth="1"/>
    <col min="13" max="13" width="6.44140625" bestFit="1" customWidth="1"/>
    <col min="14" max="14" width="13.88671875" bestFit="1" customWidth="1"/>
    <col min="15" max="15" width="22.88671875" bestFit="1" customWidth="1"/>
    <col min="16" max="16" width="18.88671875" bestFit="1" customWidth="1"/>
  </cols>
  <sheetData>
    <row r="1" spans="1:16" x14ac:dyDescent="0.3">
      <c r="A1" s="2" t="s">
        <v>24</v>
      </c>
      <c r="B1" s="2" t="s">
        <v>56</v>
      </c>
      <c r="C1" s="2" t="s">
        <v>57</v>
      </c>
      <c r="D1" s="2" t="s">
        <v>58</v>
      </c>
      <c r="E1" s="2" t="s">
        <v>42</v>
      </c>
      <c r="F1" s="2" t="s">
        <v>22</v>
      </c>
      <c r="G1" s="2" t="s">
        <v>23</v>
      </c>
      <c r="H1" s="2" t="s">
        <v>31</v>
      </c>
      <c r="I1" s="2" t="s">
        <v>34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50</v>
      </c>
      <c r="O1" s="2" t="s">
        <v>54</v>
      </c>
      <c r="P1" s="2" t="s">
        <v>55</v>
      </c>
    </row>
    <row r="2" spans="1:16" x14ac:dyDescent="0.3">
      <c r="A2" s="2" t="s">
        <v>5</v>
      </c>
      <c r="B2">
        <f>'Desglose por escenarios'!B2*0.6</f>
        <v>6180</v>
      </c>
      <c r="C2">
        <f>'Desglose por escenarios'!B3*0.3</f>
        <v>4170</v>
      </c>
      <c r="D2">
        <f>'Desglose por escenarios'!B4*0.1</f>
        <v>1744</v>
      </c>
      <c r="E2">
        <f>B2+C2+D2</f>
        <v>12094</v>
      </c>
      <c r="F2">
        <f>E2*'Desglose por escenarios'!B5</f>
        <v>96752</v>
      </c>
      <c r="G2">
        <f>F2*12</f>
        <v>1161024</v>
      </c>
      <c r="H2">
        <f>Tabla1[[#This Row],[Ingreso Total Año]]*Escenarios!E2</f>
        <v>870768</v>
      </c>
      <c r="I2">
        <f>Tabla1[[#This Row],[Ingreso Total Año]]-Tabla1[[#This Row],[COGS]]</f>
        <v>290256</v>
      </c>
      <c r="J2">
        <f>Tabla1[[#This Row],[Margen Bruto]]-'Desglose por escenarios'!B$7</f>
        <v>250256</v>
      </c>
      <c r="K2">
        <f>0.25*Tabla1[[#This Row],[EBIT]]</f>
        <v>62564</v>
      </c>
      <c r="L2">
        <f>Tabla1[[#This Row],[EBIT]]-Tabla1[[#This Row],[Impuesto]]</f>
        <v>187692</v>
      </c>
      <c r="M2" s="9">
        <f>Tabla1[[#This Row],[Resultado Neto]]/'Desglose por escenarios'!B$6</f>
        <v>7.9733220050977058</v>
      </c>
      <c r="N2" s="11">
        <f>ROUND(('Desglose por escenarios'!B$6/Tabla1[[#This Row],[Resultado Neto]])*12,0)</f>
        <v>2</v>
      </c>
      <c r="O2" s="10">
        <f>'Costes Fijos'!B$4/((Tabla1[[#This Row],[Precio ponderdo mes por cliente]]*12)*(1-Escenarios!E2))</f>
        <v>1.1024750565018466</v>
      </c>
      <c r="P2" s="10">
        <f>('Desglose por escenarios'!B$7+'Desglose por escenarios'!B$6)/((Tabla1[[#This Row],[Precio ponderdo mes por cliente]]*12)*(1-Escenarios!E2))</f>
        <v>1.7512816272531835</v>
      </c>
    </row>
    <row r="3" spans="1:16" x14ac:dyDescent="0.3">
      <c r="A3" s="2" t="s">
        <v>6</v>
      </c>
      <c r="B3">
        <f>'Desglose por escenarios'!B2*0.4</f>
        <v>4120</v>
      </c>
      <c r="C3">
        <f>'Desglose por escenarios'!B3*0.4</f>
        <v>5560</v>
      </c>
      <c r="D3">
        <f>'Desglose por escenarios'!B4*0.2</f>
        <v>3488</v>
      </c>
      <c r="E3">
        <f>B3+C3+D3</f>
        <v>13168</v>
      </c>
      <c r="F3">
        <f>E3*'Desglose por escenarios'!B5</f>
        <v>105344</v>
      </c>
      <c r="G3">
        <f>F3*12</f>
        <v>1264128</v>
      </c>
      <c r="H3">
        <f>Tabla1[[#This Row],[Ingreso Total Año]]*Escenarios!E3</f>
        <v>884889.59999999998</v>
      </c>
      <c r="I3">
        <f>Tabla1[[#This Row],[Ingreso Total Año]]-Tabla1[[#This Row],[COGS]]</f>
        <v>379238.40000000002</v>
      </c>
      <c r="J3">
        <f>Tabla1[[#This Row],[Margen Bruto]]-'Desglose por escenarios'!B$7</f>
        <v>339238.40000000002</v>
      </c>
      <c r="K3">
        <f>0.25*Tabla1[[#This Row],[EBIT]]</f>
        <v>84809.600000000006</v>
      </c>
      <c r="L3">
        <f>Tabla1[[#This Row],[EBIT]]-Tabla1[[#This Row],[Impuesto]]</f>
        <v>254428.80000000002</v>
      </c>
      <c r="M3" s="9">
        <f>Tabla1[[#This Row],[Resultado Neto]]/'Desglose por escenarios'!B$6</f>
        <v>10.808360237892948</v>
      </c>
      <c r="N3" s="11">
        <f>ROUND(('Desglose por escenarios'!B$6/Tabla1[[#This Row],[Resultado Neto]])*12,0)</f>
        <v>1</v>
      </c>
      <c r="O3" s="10">
        <f>'Costes Fijos'!B$4/((Tabla1[[#This Row],[Precio ponderdo mes por cliente]]*12)*(1-Escenarios!E3))</f>
        <v>0.84379640880248397</v>
      </c>
      <c r="P3" s="10">
        <f>('Desglose por escenarios'!B$7+'Desglose por escenarios'!B$6)/((Tabla1[[#This Row],[Precio ponderdo mes por cliente]]*12)*(1-Escenarios!E3))</f>
        <v>1.3403705953827458</v>
      </c>
    </row>
    <row r="4" spans="1:16" x14ac:dyDescent="0.3">
      <c r="A4" s="2" t="s">
        <v>20</v>
      </c>
      <c r="B4">
        <f>'Desglose por escenarios'!B2*0.2</f>
        <v>2060</v>
      </c>
      <c r="C4">
        <f>'Desglose por escenarios'!B3*0.4</f>
        <v>5560</v>
      </c>
      <c r="D4">
        <f>'Desglose por escenarios'!B4*0.4</f>
        <v>6976</v>
      </c>
      <c r="E4">
        <f>B4+C4+D4</f>
        <v>14596</v>
      </c>
      <c r="F4">
        <f>E4*'Desglose por escenarios'!B5</f>
        <v>116768</v>
      </c>
      <c r="G4">
        <f>F4*12</f>
        <v>1401216</v>
      </c>
      <c r="H4">
        <f>Tabla1[[#This Row],[Ingreso Total Año]]*Escenarios!E4</f>
        <v>910790.4</v>
      </c>
      <c r="I4">
        <f>Tabla1[[#This Row],[Ingreso Total Año]]-Tabla1[[#This Row],[COGS]]</f>
        <v>490425.59999999998</v>
      </c>
      <c r="J4">
        <f>Tabla1[[#This Row],[Margen Bruto]]-'Desglose por escenarios'!B$7</f>
        <v>450425.59999999998</v>
      </c>
      <c r="K4">
        <f>0.25*Tabla1[[#This Row],[EBIT]]</f>
        <v>112606.39999999999</v>
      </c>
      <c r="L4">
        <f>Tabla1[[#This Row],[EBIT]]-Tabla1[[#This Row],[Impuesto]]</f>
        <v>337819.19999999995</v>
      </c>
      <c r="M4" s="9">
        <f>Tabla1[[#This Row],[Resultado Neto]]/'Desglose por escenarios'!B$6</f>
        <v>14.350858113848766</v>
      </c>
      <c r="N4" s="11">
        <f>ROUND(('Desglose por escenarios'!B$6/Tabla1[[#This Row],[Resultado Neto]])*12,0)</f>
        <v>1</v>
      </c>
      <c r="O4" s="10">
        <f>'Costes Fijos'!B$4/((Tabla1[[#This Row],[Precio ponderdo mes por cliente]]*12)*(1-Escenarios!E4))</f>
        <v>0.6524944864215898</v>
      </c>
      <c r="P4" s="10">
        <f>('Desglose por escenarios'!B$7+'Desglose por escenarios'!B$6)/((Tabla1[[#This Row],[Precio ponderdo mes por cliente]]*12)*(1-Escenarios!E4))</f>
        <v>1.0364874916806954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8529-AC34-48C1-B5CA-4F72A607E5D1}">
  <dimension ref="A1:L4"/>
  <sheetViews>
    <sheetView topLeftCell="A2" workbookViewId="0">
      <selection sqref="A1:XFD1"/>
    </sheetView>
  </sheetViews>
  <sheetFormatPr baseColWidth="10" defaultRowHeight="14.4" x14ac:dyDescent="0.3"/>
  <cols>
    <col min="1" max="1" width="22.88671875" bestFit="1" customWidth="1"/>
    <col min="2" max="2" width="19.6640625" bestFit="1" customWidth="1"/>
    <col min="3" max="3" width="21.21875" bestFit="1" customWidth="1"/>
    <col min="6" max="6" width="21.21875" bestFit="1" customWidth="1"/>
    <col min="7" max="7" width="22.88671875" bestFit="1" customWidth="1"/>
    <col min="8" max="8" width="19.6640625" bestFit="1" customWidth="1"/>
    <col min="9" max="9" width="21.21875" bestFit="1" customWidth="1"/>
    <col min="10" max="10" width="28.5546875" bestFit="1" customWidth="1"/>
    <col min="11" max="11" width="25.33203125" bestFit="1" customWidth="1"/>
    <col min="12" max="12" width="26.6640625" bestFit="1" customWidth="1"/>
  </cols>
  <sheetData>
    <row r="1" spans="1:12" hidden="1" x14ac:dyDescent="0.3">
      <c r="A1" s="3" t="s">
        <v>28</v>
      </c>
    </row>
    <row r="2" spans="1:12" x14ac:dyDescent="0.3">
      <c r="A2" s="2" t="s">
        <v>5</v>
      </c>
      <c r="B2" s="2"/>
      <c r="C2" s="2"/>
      <c r="D2" s="2" t="s">
        <v>20</v>
      </c>
      <c r="E2" s="2"/>
      <c r="F2" s="2"/>
      <c r="G2" s="2" t="s">
        <v>6</v>
      </c>
      <c r="H2" s="2"/>
      <c r="I2" s="2"/>
      <c r="J2" s="2" t="s">
        <v>29</v>
      </c>
      <c r="K2" s="2" t="s">
        <v>46</v>
      </c>
      <c r="L2" s="2" t="s">
        <v>47</v>
      </c>
    </row>
    <row r="3" spans="1:12" x14ac:dyDescent="0.3">
      <c r="A3" t="s">
        <v>27</v>
      </c>
      <c r="B3" t="s">
        <v>43</v>
      </c>
      <c r="C3" t="s">
        <v>44</v>
      </c>
      <c r="D3" t="s">
        <v>27</v>
      </c>
      <c r="E3" t="s">
        <v>43</v>
      </c>
      <c r="F3" t="s">
        <v>44</v>
      </c>
      <c r="G3" t="s">
        <v>27</v>
      </c>
      <c r="H3" t="s">
        <v>43</v>
      </c>
      <c r="I3" t="s">
        <v>44</v>
      </c>
      <c r="J3" s="2"/>
      <c r="K3" s="2"/>
      <c r="L3" s="2"/>
    </row>
    <row r="4" spans="1:12" x14ac:dyDescent="0.3">
      <c r="A4" s="17">
        <v>435384</v>
      </c>
      <c r="B4" s="17">
        <v>108846</v>
      </c>
      <c r="C4" s="17">
        <v>51544.5</v>
      </c>
      <c r="D4" s="17">
        <v>525456</v>
      </c>
      <c r="E4" s="17">
        <v>183909.59999999998</v>
      </c>
      <c r="F4" s="17">
        <v>107842.19999999998</v>
      </c>
      <c r="G4" s="17">
        <v>474048</v>
      </c>
      <c r="H4" s="17">
        <v>142214.40000000002</v>
      </c>
      <c r="I4" s="17">
        <v>76570.800000000017</v>
      </c>
      <c r="J4" s="17">
        <v>1434888</v>
      </c>
      <c r="K4" s="17">
        <v>434970</v>
      </c>
      <c r="L4" s="17">
        <v>235957.5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F11A3-2B76-484D-9BC3-2DE435D61394}">
  <dimension ref="A1:B8"/>
  <sheetViews>
    <sheetView workbookViewId="0">
      <selection activeCell="C17" sqref="C17"/>
    </sheetView>
  </sheetViews>
  <sheetFormatPr baseColWidth="10" defaultRowHeight="14.4" x14ac:dyDescent="0.3"/>
  <cols>
    <col min="1" max="1" width="16.5546875" bestFit="1" customWidth="1"/>
    <col min="2" max="2" width="11.77734375" bestFit="1" customWidth="1"/>
  </cols>
  <sheetData>
    <row r="1" spans="1:2" x14ac:dyDescent="0.3">
      <c r="A1" s="3" t="s">
        <v>25</v>
      </c>
      <c r="B1" t="s">
        <v>45</v>
      </c>
    </row>
    <row r="2" spans="1:2" x14ac:dyDescent="0.3">
      <c r="A2" s="4">
        <v>51544.5</v>
      </c>
      <c r="B2" s="6">
        <v>2.1794714587737842</v>
      </c>
    </row>
    <row r="3" spans="1:2" x14ac:dyDescent="0.3">
      <c r="A3" s="5" t="s">
        <v>5</v>
      </c>
      <c r="B3" s="6">
        <v>2.1794714587737842</v>
      </c>
    </row>
    <row r="4" spans="1:2" x14ac:dyDescent="0.3">
      <c r="A4" s="4">
        <v>76570.800000000017</v>
      </c>
      <c r="B4" s="6">
        <v>3.2376659619450323</v>
      </c>
    </row>
    <row r="5" spans="1:2" x14ac:dyDescent="0.3">
      <c r="A5" s="5" t="s">
        <v>6</v>
      </c>
      <c r="B5" s="6">
        <v>3.2376659619450323</v>
      </c>
    </row>
    <row r="6" spans="1:2" x14ac:dyDescent="0.3">
      <c r="A6" s="4">
        <v>107842.19999999998</v>
      </c>
      <c r="B6" s="6">
        <v>4.5599238900634242</v>
      </c>
    </row>
    <row r="7" spans="1:2" x14ac:dyDescent="0.3">
      <c r="A7" s="5" t="s">
        <v>20</v>
      </c>
      <c r="B7" s="6">
        <v>4.5599238900634242</v>
      </c>
    </row>
    <row r="8" spans="1:2" x14ac:dyDescent="0.3">
      <c r="A8" s="4" t="s">
        <v>26</v>
      </c>
      <c r="B8" s="6">
        <v>9.9770613107822399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topLeftCell="D1" workbookViewId="0">
      <selection activeCell="G13" sqref="C2:G13"/>
    </sheetView>
  </sheetViews>
  <sheetFormatPr baseColWidth="10" defaultColWidth="8.88671875" defaultRowHeight="14.4" x14ac:dyDescent="0.3"/>
  <cols>
    <col min="1" max="1" width="6.33203125" customWidth="1"/>
    <col min="2" max="2" width="19.5546875" bestFit="1" customWidth="1"/>
    <col min="3" max="3" width="30.109375" bestFit="1" customWidth="1"/>
    <col min="4" max="4" width="15" customWidth="1"/>
    <col min="5" max="5" width="17.44140625" bestFit="1" customWidth="1"/>
    <col min="6" max="6" width="13.109375" customWidth="1"/>
    <col min="7" max="7" width="22.6640625" customWidth="1"/>
  </cols>
  <sheetData>
    <row r="1" spans="1:7" x14ac:dyDescent="0.3">
      <c r="A1" t="s">
        <v>8</v>
      </c>
      <c r="B1" t="s">
        <v>53</v>
      </c>
      <c r="C1" t="s">
        <v>52</v>
      </c>
      <c r="D1" t="s">
        <v>9</v>
      </c>
      <c r="E1" t="s">
        <v>51</v>
      </c>
      <c r="F1" t="s">
        <v>10</v>
      </c>
      <c r="G1" t="s">
        <v>11</v>
      </c>
    </row>
    <row r="2" spans="1:7" x14ac:dyDescent="0.3">
      <c r="A2">
        <v>1</v>
      </c>
      <c r="B2">
        <v>0</v>
      </c>
      <c r="C2" s="16"/>
      <c r="D2" s="16">
        <f>'Desglose por escenarios'!B$7/12</f>
        <v>3333.3333333333335</v>
      </c>
      <c r="E2" s="16">
        <f>C2*0.75</f>
        <v>0</v>
      </c>
      <c r="F2" s="16">
        <f t="shared" ref="F2:F13" si="0">C2-D2-E2</f>
        <v>-3333.3333333333335</v>
      </c>
      <c r="G2" s="16">
        <f>F2</f>
        <v>-3333.3333333333335</v>
      </c>
    </row>
    <row r="3" spans="1:7" x14ac:dyDescent="0.3">
      <c r="A3">
        <v>2</v>
      </c>
      <c r="B3">
        <v>0</v>
      </c>
      <c r="C3" s="16"/>
      <c r="D3" s="16">
        <f>'Desglose por escenarios'!B$7/12</f>
        <v>3333.3333333333335</v>
      </c>
      <c r="E3" s="16">
        <f t="shared" ref="E3:E13" si="1">C3*0.75</f>
        <v>0</v>
      </c>
      <c r="F3" s="16">
        <f t="shared" si="0"/>
        <v>-3333.3333333333335</v>
      </c>
      <c r="G3" s="16">
        <f>F3+G2</f>
        <v>-6666.666666666667</v>
      </c>
    </row>
    <row r="4" spans="1:7" x14ac:dyDescent="0.3">
      <c r="A4">
        <v>3</v>
      </c>
      <c r="B4">
        <v>1</v>
      </c>
      <c r="C4" s="16">
        <f>'Proyección por Escenarios'!E$2*B4</f>
        <v>12094</v>
      </c>
      <c r="D4" s="16">
        <f>'Desglose por escenarios'!B$7/12</f>
        <v>3333.3333333333335</v>
      </c>
      <c r="E4" s="16">
        <f t="shared" si="1"/>
        <v>9070.5</v>
      </c>
      <c r="F4" s="16">
        <f t="shared" si="0"/>
        <v>-309.83333333333394</v>
      </c>
      <c r="G4" s="16">
        <f>G3+F4</f>
        <v>-6976.5000000000009</v>
      </c>
    </row>
    <row r="5" spans="1:7" x14ac:dyDescent="0.3">
      <c r="A5">
        <v>4</v>
      </c>
      <c r="B5">
        <v>1</v>
      </c>
      <c r="C5" s="16">
        <f>'Proyección por Escenarios'!E$2*B5</f>
        <v>12094</v>
      </c>
      <c r="D5" s="16">
        <f>'Desglose por escenarios'!B$7/12</f>
        <v>3333.3333333333335</v>
      </c>
      <c r="E5" s="16">
        <f t="shared" si="1"/>
        <v>9070.5</v>
      </c>
      <c r="F5" s="16">
        <f t="shared" si="0"/>
        <v>-309.83333333333394</v>
      </c>
      <c r="G5" s="16">
        <f t="shared" ref="G5:G13" si="2">F4+G4</f>
        <v>-7286.3333333333348</v>
      </c>
    </row>
    <row r="6" spans="1:7" x14ac:dyDescent="0.3">
      <c r="A6">
        <v>5</v>
      </c>
      <c r="B6">
        <v>2</v>
      </c>
      <c r="C6" s="16">
        <f>'Proyección por Escenarios'!E$2*B6</f>
        <v>24188</v>
      </c>
      <c r="D6" s="16">
        <f>'Desglose por escenarios'!B$7/12</f>
        <v>3333.3333333333335</v>
      </c>
      <c r="E6" s="16">
        <f t="shared" si="1"/>
        <v>18141</v>
      </c>
      <c r="F6" s="16">
        <f t="shared" si="0"/>
        <v>2713.6666666666679</v>
      </c>
      <c r="G6" s="16">
        <f t="shared" si="2"/>
        <v>-7596.1666666666688</v>
      </c>
    </row>
    <row r="7" spans="1:7" x14ac:dyDescent="0.3">
      <c r="A7">
        <v>6</v>
      </c>
      <c r="B7">
        <v>2</v>
      </c>
      <c r="C7" s="16">
        <f>'Proyección por Escenarios'!E$2*B7</f>
        <v>24188</v>
      </c>
      <c r="D7" s="16">
        <f>'Desglose por escenarios'!B$7/12</f>
        <v>3333.3333333333335</v>
      </c>
      <c r="E7" s="16">
        <f t="shared" si="1"/>
        <v>18141</v>
      </c>
      <c r="F7" s="16">
        <f t="shared" si="0"/>
        <v>2713.6666666666679</v>
      </c>
      <c r="G7" s="16">
        <f t="shared" si="2"/>
        <v>-4882.5000000000009</v>
      </c>
    </row>
    <row r="8" spans="1:7" x14ac:dyDescent="0.3">
      <c r="A8">
        <v>7</v>
      </c>
      <c r="B8">
        <v>3</v>
      </c>
      <c r="C8" s="16">
        <f>'Proyección por Escenarios'!E$2*B8</f>
        <v>36282</v>
      </c>
      <c r="D8" s="16">
        <f>'Desglose por escenarios'!B$7/12</f>
        <v>3333.3333333333335</v>
      </c>
      <c r="E8" s="16">
        <f t="shared" si="1"/>
        <v>27211.5</v>
      </c>
      <c r="F8" s="16">
        <f t="shared" si="0"/>
        <v>5737.1666666666642</v>
      </c>
      <c r="G8" s="16">
        <f t="shared" si="2"/>
        <v>-2168.833333333333</v>
      </c>
    </row>
    <row r="9" spans="1:7" x14ac:dyDescent="0.3">
      <c r="A9">
        <v>8</v>
      </c>
      <c r="B9">
        <v>3</v>
      </c>
      <c r="C9" s="16">
        <f>'Proyección por Escenarios'!E$2*B9</f>
        <v>36282</v>
      </c>
      <c r="D9" s="16">
        <f>'Desglose por escenarios'!B$7/12</f>
        <v>3333.3333333333335</v>
      </c>
      <c r="E9" s="16">
        <f t="shared" si="1"/>
        <v>27211.5</v>
      </c>
      <c r="F9" s="16">
        <f t="shared" si="0"/>
        <v>5737.1666666666642</v>
      </c>
      <c r="G9" s="16">
        <f t="shared" si="2"/>
        <v>3568.3333333333312</v>
      </c>
    </row>
    <row r="10" spans="1:7" x14ac:dyDescent="0.3">
      <c r="A10">
        <v>9</v>
      </c>
      <c r="B10">
        <v>3</v>
      </c>
      <c r="C10" s="16">
        <f>'Proyección por Escenarios'!E$2*B10</f>
        <v>36282</v>
      </c>
      <c r="D10" s="16">
        <f>'Desglose por escenarios'!B$7/12</f>
        <v>3333.3333333333335</v>
      </c>
      <c r="E10" s="16">
        <f t="shared" si="1"/>
        <v>27211.5</v>
      </c>
      <c r="F10" s="16">
        <f t="shared" si="0"/>
        <v>5737.1666666666642</v>
      </c>
      <c r="G10" s="16">
        <f t="shared" si="2"/>
        <v>9305.4999999999964</v>
      </c>
    </row>
    <row r="11" spans="1:7" x14ac:dyDescent="0.3">
      <c r="A11">
        <v>10</v>
      </c>
      <c r="B11">
        <v>3</v>
      </c>
      <c r="C11" s="16">
        <f>'Proyección por Escenarios'!E$2*B11</f>
        <v>36282</v>
      </c>
      <c r="D11" s="16">
        <f>'Desglose por escenarios'!B$7/12</f>
        <v>3333.3333333333335</v>
      </c>
      <c r="E11" s="16">
        <f t="shared" si="1"/>
        <v>27211.5</v>
      </c>
      <c r="F11" s="16">
        <f t="shared" si="0"/>
        <v>5737.1666666666642</v>
      </c>
      <c r="G11" s="16">
        <f t="shared" si="2"/>
        <v>15042.666666666661</v>
      </c>
    </row>
    <row r="12" spans="1:7" x14ac:dyDescent="0.3">
      <c r="A12">
        <v>11</v>
      </c>
      <c r="B12">
        <v>4</v>
      </c>
      <c r="C12" s="16">
        <f>'Proyección por Escenarios'!E$2*B12</f>
        <v>48376</v>
      </c>
      <c r="D12" s="16">
        <f>'Desglose por escenarios'!B$7/12</f>
        <v>3333.3333333333335</v>
      </c>
      <c r="E12" s="16">
        <f t="shared" si="1"/>
        <v>36282</v>
      </c>
      <c r="F12" s="16">
        <f t="shared" si="0"/>
        <v>8760.6666666666642</v>
      </c>
      <c r="G12" s="16">
        <f t="shared" si="2"/>
        <v>20779.833333333325</v>
      </c>
    </row>
    <row r="13" spans="1:7" x14ac:dyDescent="0.3">
      <c r="A13">
        <v>12</v>
      </c>
      <c r="B13">
        <v>4</v>
      </c>
      <c r="C13" s="16">
        <f>'Proyección por Escenarios'!E$2*B13</f>
        <v>48376</v>
      </c>
      <c r="D13" s="16">
        <f>'Desglose por escenarios'!B$7/12</f>
        <v>3333.3333333333335</v>
      </c>
      <c r="E13" s="16">
        <f t="shared" si="1"/>
        <v>36282</v>
      </c>
      <c r="F13" s="16">
        <f t="shared" si="0"/>
        <v>8760.6666666666642</v>
      </c>
      <c r="G13" s="16">
        <f t="shared" si="2"/>
        <v>29540.499999999989</v>
      </c>
    </row>
  </sheetData>
  <conditionalFormatting sqref="F2:G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Inversion Inicial</vt:lpstr>
      <vt:lpstr>Costes Fijos</vt:lpstr>
      <vt:lpstr>Escenarios</vt:lpstr>
      <vt:lpstr>Desglose por escenarios</vt:lpstr>
      <vt:lpstr>Proyección por Escenarios</vt:lpstr>
      <vt:lpstr>Suma de Ingresos Total Años </vt:lpstr>
      <vt:lpstr>ROI</vt:lpstr>
      <vt:lpstr>Proyeccion 12 meses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Romero</cp:lastModifiedBy>
  <dcterms:created xsi:type="dcterms:W3CDTF">2025-12-08T10:47:30Z</dcterms:created>
  <dcterms:modified xsi:type="dcterms:W3CDTF">2026-03-18T11:14:42Z</dcterms:modified>
</cp:coreProperties>
</file>