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ndyd\Documents\MisProyectos.IA\lead_validation_dashboard\data\"/>
    </mc:Choice>
  </mc:AlternateContent>
  <xr:revisionPtr revIDLastSave="0" documentId="13_ncr:1_{DF9EB49F-139A-414F-A52D-767EB7DCE5D5}" xr6:coauthVersionLast="47" xr6:coauthVersionMax="47" xr10:uidLastSave="{00000000-0000-0000-0000-000000000000}"/>
  <bookViews>
    <workbookView xWindow="384" yWindow="384" windowWidth="17280" windowHeight="9072" activeTab="1" xr2:uid="{00000000-000D-0000-FFFF-FFFF00000000}"/>
  </bookViews>
  <sheets>
    <sheet name="1. Lead Scoring" sheetId="1" r:id="rId1"/>
    <sheet name="2. Semáforo" sheetId="10" r:id="rId2"/>
    <sheet name="3. Intención Operativa" sheetId="9" r:id="rId3"/>
    <sheet name="4. Criterio de Alcance" sheetId="5" r:id="rId4"/>
    <sheet name="5. Tabla de Puntuación" sheetId="6" r:id="rId5"/>
    <sheet name="6. Tabla de Objetivización" sheetId="7" r:id="rId6"/>
    <sheet name="7. Rango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0" l="1"/>
  <c r="G12" i="10"/>
  <c r="F12" i="10"/>
  <c r="G11" i="10"/>
  <c r="F11" i="10"/>
  <c r="G10" i="10"/>
  <c r="F10" i="10"/>
  <c r="G9" i="10"/>
  <c r="F9" i="10"/>
  <c r="G8" i="10"/>
  <c r="F8" i="10"/>
  <c r="F7" i="10"/>
  <c r="G7" i="10" s="1"/>
  <c r="F6" i="10"/>
  <c r="G6" i="10" s="1"/>
  <c r="F5" i="10"/>
  <c r="G5" i="10" s="1"/>
  <c r="F4" i="10"/>
  <c r="G4" i="10" s="1"/>
  <c r="G3" i="10"/>
  <c r="F3" i="10"/>
  <c r="G2" i="10"/>
  <c r="E18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9" i="1"/>
  <c r="E20" i="1"/>
  <c r="E21" i="1"/>
  <c r="E22" i="1"/>
  <c r="E23" i="1"/>
</calcChain>
</file>

<file path=xl/sharedStrings.xml><?xml version="1.0" encoding="utf-8"?>
<sst xmlns="http://schemas.openxmlformats.org/spreadsheetml/2006/main" count="175" uniqueCount="149">
  <si>
    <t>Score</t>
  </si>
  <si>
    <t>Maquinaria Industrial</t>
  </si>
  <si>
    <t>Director Internacionalización</t>
  </si>
  <si>
    <t>Alimentación Procesada</t>
  </si>
  <si>
    <t>Responsable expansión</t>
  </si>
  <si>
    <t xml:space="preserve"> Peso </t>
  </si>
  <si>
    <t xml:space="preserve"> Qué mide                                                     </t>
  </si>
  <si>
    <t xml:space="preserve"> Nota      </t>
  </si>
  <si>
    <t xml:space="preserve"> × Peso     </t>
  </si>
  <si>
    <t xml:space="preserve"> Puntos parciales             </t>
  </si>
  <si>
    <t>Multisector</t>
  </si>
  <si>
    <t>Director Regional Catalunya</t>
  </si>
  <si>
    <t xml:space="preserve"> Acceso a decisores    </t>
  </si>
  <si>
    <t xml:space="preserve"> ¿Llega al CEO / dueño o solo a mandos medios?                </t>
  </si>
  <si>
    <t xml:space="preserve"> Acceso decisores  </t>
  </si>
  <si>
    <t xml:space="preserve"> 10 × 25 % </t>
  </si>
  <si>
    <t xml:space="preserve"> = 2,5 </t>
  </si>
  <si>
    <t xml:space="preserve">                              </t>
  </si>
  <si>
    <t>Industria alemana</t>
  </si>
  <si>
    <t>Partner expatriados</t>
  </si>
  <si>
    <t xml:space="preserve"> Volumen potencial</t>
  </si>
  <si>
    <t xml:space="preserve"> ¿Cuántas empresas puede referirnos al año?                   </t>
  </si>
  <si>
    <t xml:space="preserve"> Volumen           </t>
  </si>
  <si>
    <t xml:space="preserve"> 7 × 20 %  </t>
  </si>
  <si>
    <t xml:space="preserve"> = 1,4</t>
  </si>
  <si>
    <t>Textil</t>
  </si>
  <si>
    <t>Socio consultoría</t>
  </si>
  <si>
    <t xml:space="preserve"> Alcance geográfico   </t>
  </si>
  <si>
    <t xml:space="preserve"> ¿Opera en mercados que nos interesan (UK, DE, ITA)?          </t>
  </si>
  <si>
    <t xml:space="preserve"> Alcance           </t>
  </si>
  <si>
    <t xml:space="preserve"> 7 × 15 %  </t>
  </si>
  <si>
    <t xml:space="preserve"> = 1,05</t>
  </si>
  <si>
    <t>Industria General</t>
  </si>
  <si>
    <t>Jefe Proyectos UE</t>
  </si>
  <si>
    <t xml:space="preserve"> Credibilidad sectorial</t>
  </si>
  <si>
    <t xml:space="preserve"> ¿Tiene trayectoria y marca reconocida?                       </t>
  </si>
  <si>
    <t xml:space="preserve"> Credibilidad      </t>
  </si>
  <si>
    <t xml:space="preserve"> = 1,05 </t>
  </si>
  <si>
    <t>Exportadores</t>
  </si>
  <si>
    <t>Delegado Berlín/Londres</t>
  </si>
  <si>
    <t xml:space="preserve"> Cultural fit    </t>
  </si>
  <si>
    <t xml:space="preserve"> ¿Comparte nuestros valores y entiende el modelo “no-filial”? </t>
  </si>
  <si>
    <t xml:space="preserve"> Cultural fit      </t>
  </si>
  <si>
    <t xml:space="preserve"> 10 × 10 % </t>
  </si>
  <si>
    <t xml:space="preserve"> = 1,0  </t>
  </si>
  <si>
    <t>Manufactura</t>
  </si>
  <si>
    <t>Channel Manager</t>
  </si>
  <si>
    <t xml:space="preserve"> Reciprocidad          </t>
  </si>
  <si>
    <t xml:space="preserve"> ¿Está dispuesto a abrirnos su red?                           </t>
  </si>
  <si>
    <t xml:space="preserve"> Reciprocidad      </t>
  </si>
  <si>
    <t>Vocal relaciones empresas</t>
  </si>
  <si>
    <t xml:space="preserve"> Capacidad técnica    </t>
  </si>
  <si>
    <t xml:space="preserve"> ¿Puede explicar / co-vender nuestro servicio?                </t>
  </si>
  <si>
    <t xml:space="preserve"> Capacidad técnica </t>
  </si>
  <si>
    <t xml:space="preserve"> 7 × 5 %   </t>
  </si>
  <si>
    <t xml:space="preserve"> = 0,35 </t>
  </si>
  <si>
    <t>Eventos</t>
  </si>
  <si>
    <t>Director feria INDUSTRY</t>
  </si>
  <si>
    <t xml:space="preserve"> TOTAL        </t>
  </si>
  <si>
    <t xml:space="preserve">           </t>
  </si>
  <si>
    <t xml:space="preserve">            </t>
  </si>
  <si>
    <t xml:space="preserve"> 8,4 / 10 → 84 puntos</t>
  </si>
  <si>
    <t>Componentes auto</t>
  </si>
  <si>
    <t>Socio fundador</t>
  </si>
  <si>
    <t xml:space="preserve"> Puntuación </t>
  </si>
  <si>
    <t xml:space="preserve"> Descriptor genérico             </t>
  </si>
  <si>
    <t>Cerámica / mueble</t>
  </si>
  <si>
    <t>Director</t>
  </si>
  <si>
    <t xml:space="preserve"> Excelente / supera expectativas </t>
  </si>
  <si>
    <t xml:space="preserve"> Rango            </t>
  </si>
  <si>
    <t xml:space="preserve"> Acción                                                     </t>
  </si>
  <si>
    <t>Químico / farma</t>
  </si>
  <si>
    <t>Responsable internacional</t>
  </si>
  <si>
    <t xml:space="preserve"> Bueno / cumple lo exigido       </t>
  </si>
  <si>
    <t xml:space="preserve"> ≥ 80 puntos  </t>
  </si>
  <si>
    <t xml:space="preserve"> Gold → Contrato 15 % comisión + créditos + co-branding </t>
  </si>
  <si>
    <t>Industria</t>
  </si>
  <si>
    <t>Key Account Manager</t>
  </si>
  <si>
    <t xml:space="preserve"> Regular / justito o dudoso      </t>
  </si>
  <si>
    <t xml:space="preserve"> 60-79 puntos</t>
  </si>
  <si>
    <t xml:space="preserve"> Silver → 12 % + créditos básicos                       </t>
  </si>
  <si>
    <t>Maquinaria italiana</t>
  </si>
  <si>
    <t>Socio</t>
  </si>
  <si>
    <t xml:space="preserve"> Pobre / claramente insuficiente </t>
  </si>
  <si>
    <t xml:space="preserve"> 40-59 puntos </t>
  </si>
  <si>
    <t xml:space="preserve"> Bronze → 10 % solo cash, sin créditos                  </t>
  </si>
  <si>
    <t>Partner</t>
  </si>
  <si>
    <t xml:space="preserve"> &lt; 40 puntos  </t>
  </si>
  <si>
    <t xml:space="preserve"> No entra en el programa (o se deja en “observación”)   </t>
  </si>
  <si>
    <t>Alimentación</t>
  </si>
  <si>
    <t>Directora</t>
  </si>
  <si>
    <t>Maquinaria</t>
  </si>
  <si>
    <t>Responsable producto</t>
  </si>
  <si>
    <t>Maquinaria de Llenado Industrial de Líquidos</t>
  </si>
  <si>
    <t>Maquinaria Agrícola (Empacado y Envoltura)</t>
  </si>
  <si>
    <t>Componentes de Ingeniería Especializada</t>
  </si>
  <si>
    <t>Embalaje Flexible y Film</t>
  </si>
  <si>
    <t xml:space="preserve"> Tabla de Criterio de Alcance              </t>
  </si>
  <si>
    <t xml:space="preserve"> Tabla de Criterio para Objetivización</t>
  </si>
  <si>
    <t>Sí</t>
  </si>
  <si>
    <t>No</t>
  </si>
  <si>
    <t>Señal de Intención Operativa</t>
  </si>
  <si>
    <t>Peso (0-100)</t>
  </si>
  <si>
    <t>Justificación</t>
  </si>
  <si>
    <t>Ofertas de empleo activas</t>
  </si>
  <si>
    <t>Indica presupuesto aprobado y un "dolor" por falta de manos.</t>
  </si>
  <si>
    <t>Descarga Lead Magnet + Interacción</t>
  </si>
  <si>
    <t>Es una señal directa de interés en tu solución específica.</t>
  </si>
  <si>
    <t>Apertura reciente de mercado</t>
  </si>
  <si>
    <t>Tienen procesos nuevos y poco optimizados; están abiertos a ayuda.</t>
  </si>
  <si>
    <t>Presencia en ferias industriales</t>
  </si>
  <si>
    <t>Indica capacidad de inversión y búsqueda activa de partners.</t>
  </si>
  <si>
    <t>Lead</t>
  </si>
  <si>
    <t>Oferta de Empleo</t>
  </si>
  <si>
    <t>Feria Industrial</t>
  </si>
  <si>
    <t>Apertura de Mercado</t>
  </si>
  <si>
    <t>Interación Lead Magnet</t>
  </si>
  <si>
    <t>Probabilidad de Éxito</t>
  </si>
  <si>
    <t>Semáforo</t>
  </si>
  <si>
    <t>Empresa 1</t>
  </si>
  <si>
    <t>Empresa 2</t>
  </si>
  <si>
    <t>Empresa 3</t>
  </si>
  <si>
    <t>Empresa 4</t>
  </si>
  <si>
    <t>Empresa 5</t>
  </si>
  <si>
    <t>Empresa 6</t>
  </si>
  <si>
    <t>Empresa 7</t>
  </si>
  <si>
    <t>Empresa 8</t>
  </si>
  <si>
    <t>Empresa 9</t>
  </si>
  <si>
    <t>Empresa 10</t>
  </si>
  <si>
    <t>Empresa 11</t>
  </si>
  <si>
    <t>Empresa 12</t>
  </si>
  <si>
    <t>Empresa 13</t>
  </si>
  <si>
    <t>Empresa 14</t>
  </si>
  <si>
    <t>Empresa 15</t>
  </si>
  <si>
    <t>Empresa 16</t>
  </si>
  <si>
    <t>Empresa 17</t>
  </si>
  <si>
    <t>Empresa 18</t>
  </si>
  <si>
    <t>Empresa 19</t>
  </si>
  <si>
    <t>Empresa 20</t>
  </si>
  <si>
    <t>Empresa 21</t>
  </si>
  <si>
    <t>Empresa 22</t>
  </si>
  <si>
    <t>Columna1</t>
  </si>
  <si>
    <t>Columna2</t>
  </si>
  <si>
    <t>Columna3</t>
  </si>
  <si>
    <t>UK Solutions</t>
  </si>
  <si>
    <t>nombre _ tipo</t>
  </si>
  <si>
    <t>sector</t>
  </si>
  <si>
    <t>Contacto_Ideal</t>
  </si>
  <si>
    <t>Tier_Objetivo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</si>
</sst>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color theme="1"/>
      <name val="Aptos Narrow"/>
      <scheme val="minor"/>
    </font>
    <font>
      <sz val="11"/>
      <color theme="1"/>
      <name val="Aptos Narrow"/>
    </font>
    <font>
      <b/>
      <sz val="11"/>
      <color rgb="FF3F3F3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20"/>
      <color theme="1"/>
      <name val="Aptos Narrow"/>
      <family val="2"/>
    </font>
    <font>
      <b/>
      <sz val="22"/>
      <color theme="1"/>
      <name val="Aptos Narrow"/>
      <family val="2"/>
    </font>
    <font>
      <b/>
      <sz val="20"/>
      <color rgb="FF006100"/>
      <name val="Aptos Narrow"/>
      <family val="2"/>
      <scheme val="minor"/>
    </font>
    <font>
      <sz val="26"/>
      <color theme="0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rgb="FFFAE2D5"/>
        <bgColor rgb="FFFAE2D5"/>
      </patternFill>
    </fill>
    <fill>
      <patternFill patternType="solid">
        <fgColor theme="7"/>
        <bgColor theme="7"/>
      </patternFill>
    </fill>
  </fills>
  <borders count="3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0" fontId="6" fillId="3" borderId="1" applyNumberFormat="0" applyAlignment="0" applyProtection="0"/>
    <xf numFmtId="0" fontId="7" fillId="4" borderId="0" applyNumberFormat="0" applyBorder="0" applyAlignment="0" applyProtection="0"/>
  </cellStyleXfs>
  <cellXfs count="22">
    <xf numFmtId="0" fontId="0" fillId="0" borderId="0" xfId="0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 wrapText="1"/>
    </xf>
    <xf numFmtId="0" fontId="2" fillId="0" borderId="0" xfId="0" applyFont="1"/>
    <xf numFmtId="0" fontId="8" fillId="0" borderId="0" xfId="0" applyFont="1"/>
    <xf numFmtId="0" fontId="12" fillId="4" borderId="0" xfId="2" applyFont="1"/>
    <xf numFmtId="0" fontId="14" fillId="0" borderId="2" xfId="0" applyFont="1" applyBorder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6" fillId="3" borderId="1" xfId="1"/>
    <xf numFmtId="0" fontId="6" fillId="3" borderId="1" xfId="1" applyAlignment="1">
      <alignment vertical="center" wrapText="1"/>
    </xf>
    <xf numFmtId="0" fontId="6" fillId="3" borderId="1" xfId="1" quotePrefix="1"/>
    <xf numFmtId="0" fontId="9" fillId="5" borderId="0" xfId="0" applyFont="1" applyFill="1"/>
    <xf numFmtId="0" fontId="3" fillId="7" borderId="0" xfId="0" applyFont="1" applyFill="1"/>
    <xf numFmtId="9" fontId="5" fillId="7" borderId="0" xfId="0" applyNumberFormat="1" applyFont="1" applyFill="1"/>
    <xf numFmtId="0" fontId="0" fillId="7" borderId="0" xfId="0" applyFill="1"/>
    <xf numFmtId="0" fontId="3" fillId="6" borderId="0" xfId="0" applyFont="1" applyFill="1"/>
    <xf numFmtId="9" fontId="5" fillId="6" borderId="0" xfId="0" applyNumberFormat="1" applyFont="1" applyFill="1"/>
    <xf numFmtId="0" fontId="0" fillId="6" borderId="0" xfId="0" applyFill="1"/>
    <xf numFmtId="0" fontId="11" fillId="2" borderId="0" xfId="0" applyFont="1" applyFill="1"/>
    <xf numFmtId="0" fontId="10" fillId="8" borderId="0" xfId="0" applyFont="1" applyFill="1"/>
    <xf numFmtId="0" fontId="1" fillId="0" borderId="0" xfId="0" applyFont="1"/>
  </cellXfs>
  <cellStyles count="3">
    <cellStyle name="Énfasis5" xfId="2" builtinId="45"/>
    <cellStyle name="Normal" xfId="0" builtinId="0"/>
    <cellStyle name="Salida" xfId="1" builtinId="21"/>
  </cellStyles>
  <dxfs count="24">
    <dxf>
      <font>
        <strike val="0"/>
        <outline val="0"/>
        <shadow val="0"/>
        <u val="none"/>
        <vertAlign val="baseline"/>
        <sz val="26"/>
        <color theme="0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22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20"/>
        <color theme="1"/>
        <name val="Aptos Narrow"/>
        <scheme val="none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1"/>
          <bgColor theme="1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1"/>
          <bgColor theme="1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AE2D5"/>
          <bgColor rgb="FFFAE2D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2" defaultPivotStyle="PivotStyleLight16">
    <tableStyle name="Pipeline de partners-style" pivot="0" count="3" xr9:uid="{00000000-0011-0000-FFFF-FFFF00000000}">
      <tableStyleElement type="headerRow" dxfId="23"/>
      <tableStyleElement type="firstRowStripe" dxfId="22"/>
      <tableStyleElement type="secondRowStripe" dxfId="21"/>
    </tableStyle>
    <tableStyle name="Pipeline de partners-style 2" pivot="0" count="3" xr9:uid="{00000000-0011-0000-FFFF-FFFF01000000}">
      <tableStyleElement type="headerRow" dxfId="20"/>
      <tableStyleElement type="firstRowStripe" dxfId="19"/>
      <tableStyleElement type="secondRowStripe" dxfId="18"/>
    </tableStyle>
    <tableStyle name="Pipeline de partners-style 3" pivot="0" count="3" xr9:uid="{00000000-0011-0000-FFFF-FFFF02000000}">
      <tableStyleElement type="headerRow" dxfId="17"/>
      <tableStyleElement type="firstRowStripe" dxfId="16"/>
      <tableStyleElement type="secondRowStripe" dxfId="15"/>
    </tableStyle>
    <tableStyle name="Pipeline de partners-style 4" pivot="0" count="3" xr9:uid="{00000000-0011-0000-FFFF-FFFF03000000}">
      <tableStyleElement type="headerRow" dxfId="14"/>
      <tableStyleElement type="firstRowStripe" dxfId="13"/>
      <tableStyleElement type="secondRowStripe" dxfId="12"/>
    </tableStyle>
    <tableStyle name="Pipeline de partners-style 5" pivot="0" count="3" xr9:uid="{00000000-0011-0000-FFFF-FFFF04000000}">
      <tableStyleElement type="headerRow" dxfId="11"/>
      <tableStyleElement type="firstRowStripe" dxfId="10"/>
      <tableStyleElement type="secondRowStripe" dxfId="9"/>
    </tableStyle>
    <tableStyle name="Sistema de incentivos-style" pivot="0" count="3" xr9:uid="{00000000-0011-0000-FFFF-FFFF05000000}">
      <tableStyleElement type="headerRow" dxfId="8"/>
      <tableStyleElement type="firstRowStripe" dxfId="7"/>
      <tableStyleElement type="secondRowStripe" dxfId="6"/>
    </tableStyle>
    <tableStyle name="Costes de Marketing-style" pivot="0" count="3" xr9:uid="{00000000-0011-0000-FFFF-FFFF06000000}"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E23" headerRowCellStyle="Normal" dataCellStyle="Normal" totalsRowCellStyle="Normal">
  <tableColumns count="5">
    <tableColumn id="1" xr3:uid="{00000000-0010-0000-0000-000001000000}" name="nombre _ tipo" dataCellStyle="Normal"/>
    <tableColumn id="2" xr3:uid="{00000000-0010-0000-0000-000002000000}" name="sector" dataCellStyle="Normal"/>
    <tableColumn id="3" xr3:uid="{00000000-0010-0000-0000-000003000000}" name="Contacto_Ideal" dataCellStyle="Normal"/>
    <tableColumn id="4" xr3:uid="{00000000-0010-0000-0000-000004000000}" name="Score" dataCellStyle="Normal"/>
    <tableColumn id="5" xr3:uid="{00000000-0010-0000-0000-000005000000}" name="Tier_Objetivo" dataCellStyle="Normal">
      <calculatedColumnFormula>IF(D2&gt;=80,"Gold",IF(D2&gt;=60,"Silver",IF(D2&gt;=40,"Bronze","No entra / Observación")))</calculatedColumnFormula>
    </tableColumn>
  </tableColumns>
  <tableStyleInfo name="Pipeline de partner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G2:I10" headerRowDxfId="2">
  <tableColumns count="3">
    <tableColumn id="1" xr3:uid="{00000000-0010-0000-0100-000001000000}" name="Columna1" dataCellStyle="Normal"/>
    <tableColumn id="2" xr3:uid="{00000000-0010-0000-0100-000002000000}" name="Columna2"/>
    <tableColumn id="3" xr3:uid="{00000000-0010-0000-0100-000003000000}" name="Columna3"/>
  </tableColumns>
  <tableStyleInfo name="Pipeline de partners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G17:I26" headerRowDxfId="1">
  <tableColumns count="3">
    <tableColumn id="1" xr3:uid="{00000000-0010-0000-0200-000001000000}" name="Columna1" dataCellStyle="Normal"/>
    <tableColumn id="2" xr3:uid="{00000000-0010-0000-0200-000002000000}" name="Columna2"/>
    <tableColumn id="3" xr3:uid="{00000000-0010-0000-0200-000003000000}" name="Columna3"/>
  </tableColumns>
  <tableStyleInfo name="Pipeline de partners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G11:H16">
  <tableColumns count="2">
    <tableColumn id="1" xr3:uid="{00000000-0010-0000-0300-000001000000}" name="Columna1" dataCellStyle="Normal"/>
    <tableColumn id="2" xr3:uid="{00000000-0010-0000-0300-000002000000}" name="Columna2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:B5" headerRowDxfId="0" headerRowCellStyle="Énfasis5">
  <tableColumns count="2">
    <tableColumn id="1" xr3:uid="{00000000-0010-0000-0400-000001000000}" name=" Rango            "/>
    <tableColumn id="2" xr3:uid="{00000000-0010-0000-0400-000002000000}" name=" Acción                                                     "/>
  </tableColumns>
  <tableStyleInfo name="Pipeline de partners-style 5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99"/>
  <sheetViews>
    <sheetView zoomScale="50" zoomScaleNormal="50" workbookViewId="0">
      <selection activeCell="E2" sqref="E2"/>
    </sheetView>
  </sheetViews>
  <sheetFormatPr baseColWidth="10" defaultColWidth="12.6640625" defaultRowHeight="15" customHeight="1" x14ac:dyDescent="0.3"/>
  <cols>
    <col min="1" max="1" width="16.5546875" bestFit="1" customWidth="1"/>
    <col min="2" max="2" width="40.33203125" bestFit="1" customWidth="1"/>
    <col min="3" max="3" width="33.88671875" bestFit="1" customWidth="1"/>
    <col min="4" max="4" width="7.6640625" bestFit="1" customWidth="1"/>
    <col min="5" max="5" width="26.5546875" bestFit="1" customWidth="1"/>
    <col min="6" max="6" width="42.77734375" customWidth="1"/>
    <col min="7" max="7" width="152.88671875" hidden="1" customWidth="1"/>
    <col min="8" max="8" width="63.109375" hidden="1" customWidth="1"/>
    <col min="9" max="9" width="14.6640625" hidden="1" customWidth="1"/>
    <col min="10" max="10" width="18.44140625" customWidth="1"/>
    <col min="11" max="11" width="47.109375" customWidth="1"/>
    <col min="12" max="12" width="10.6640625" customWidth="1"/>
    <col min="13" max="13" width="22.77734375" customWidth="1"/>
    <col min="14" max="22" width="10.6640625" customWidth="1"/>
  </cols>
  <sheetData>
    <row r="1" spans="1:9" ht="14.4" x14ac:dyDescent="0.3">
      <c r="A1" t="s">
        <v>145</v>
      </c>
      <c r="B1" t="s">
        <v>146</v>
      </c>
      <c r="C1" t="s">
        <v>147</v>
      </c>
      <c r="D1" t="s">
        <v>0</v>
      </c>
      <c r="E1" t="s">
        <v>148</v>
      </c>
    </row>
    <row r="2" spans="1:9" ht="14.4" x14ac:dyDescent="0.3">
      <c r="A2" t="s">
        <v>119</v>
      </c>
      <c r="B2" t="s">
        <v>1</v>
      </c>
      <c r="C2" t="s">
        <v>2</v>
      </c>
      <c r="E2" t="str">
        <f t="shared" ref="E2:E23" si="0">IF(D2&gt;=80,"Gold",IF(D2&gt;=60,"Silver",IF(D2&gt;=40,"Bronze","No entra / Observación")))</f>
        <v>No entra / Observación</v>
      </c>
      <c r="G2" t="s">
        <v>141</v>
      </c>
      <c r="H2" t="s">
        <v>142</v>
      </c>
      <c r="I2" t="s">
        <v>143</v>
      </c>
    </row>
    <row r="3" spans="1:9" ht="14.4" x14ac:dyDescent="0.3">
      <c r="A3" t="s">
        <v>120</v>
      </c>
      <c r="B3" t="s">
        <v>3</v>
      </c>
      <c r="C3" t="s">
        <v>4</v>
      </c>
      <c r="E3" t="str">
        <f t="shared" si="0"/>
        <v>No entra / Observación</v>
      </c>
    </row>
    <row r="4" spans="1:9" ht="14.4" x14ac:dyDescent="0.3">
      <c r="A4" t="s">
        <v>121</v>
      </c>
      <c r="B4" t="s">
        <v>10</v>
      </c>
      <c r="C4" t="s">
        <v>11</v>
      </c>
      <c r="E4" t="str">
        <f t="shared" si="0"/>
        <v>No entra / Observación</v>
      </c>
    </row>
    <row r="5" spans="1:9" ht="14.4" x14ac:dyDescent="0.3">
      <c r="A5" t="s">
        <v>122</v>
      </c>
      <c r="B5" t="s">
        <v>18</v>
      </c>
      <c r="C5" t="s">
        <v>19</v>
      </c>
      <c r="E5" t="str">
        <f t="shared" si="0"/>
        <v>No entra / Observación</v>
      </c>
    </row>
    <row r="6" spans="1:9" ht="14.4" x14ac:dyDescent="0.3">
      <c r="A6" t="s">
        <v>123</v>
      </c>
      <c r="B6" t="s">
        <v>25</v>
      </c>
      <c r="C6" t="s">
        <v>26</v>
      </c>
      <c r="E6" t="str">
        <f t="shared" si="0"/>
        <v>No entra / Observación</v>
      </c>
    </row>
    <row r="7" spans="1:9" ht="14.4" x14ac:dyDescent="0.3">
      <c r="A7" t="s">
        <v>124</v>
      </c>
      <c r="B7" t="s">
        <v>32</v>
      </c>
      <c r="C7" t="s">
        <v>33</v>
      </c>
      <c r="D7">
        <v>90</v>
      </c>
      <c r="E7" t="str">
        <f t="shared" si="0"/>
        <v>Gold</v>
      </c>
    </row>
    <row r="8" spans="1:9" ht="14.4" x14ac:dyDescent="0.3">
      <c r="A8" t="s">
        <v>125</v>
      </c>
      <c r="B8" t="s">
        <v>38</v>
      </c>
      <c r="C8" t="s">
        <v>39</v>
      </c>
      <c r="E8" t="str">
        <f t="shared" si="0"/>
        <v>No entra / Observación</v>
      </c>
    </row>
    <row r="9" spans="1:9" ht="14.4" x14ac:dyDescent="0.3">
      <c r="A9" t="s">
        <v>126</v>
      </c>
      <c r="B9" t="s">
        <v>45</v>
      </c>
      <c r="C9" t="s">
        <v>46</v>
      </c>
      <c r="E9" t="str">
        <f t="shared" si="0"/>
        <v>No entra / Observación</v>
      </c>
    </row>
    <row r="10" spans="1:9" ht="14.4" x14ac:dyDescent="0.3">
      <c r="A10" t="s">
        <v>127</v>
      </c>
      <c r="B10" t="s">
        <v>10</v>
      </c>
      <c r="C10" t="s">
        <v>50</v>
      </c>
      <c r="D10">
        <v>60</v>
      </c>
      <c r="E10" t="str">
        <f t="shared" si="0"/>
        <v>Silver</v>
      </c>
    </row>
    <row r="11" spans="1:9" ht="14.4" x14ac:dyDescent="0.3">
      <c r="A11" t="s">
        <v>128</v>
      </c>
      <c r="B11" t="s">
        <v>56</v>
      </c>
      <c r="C11" t="s">
        <v>57</v>
      </c>
      <c r="E11" t="str">
        <f t="shared" si="0"/>
        <v>No entra / Observación</v>
      </c>
      <c r="G11" t="s">
        <v>141</v>
      </c>
      <c r="H11" t="s">
        <v>142</v>
      </c>
    </row>
    <row r="12" spans="1:9" ht="14.4" x14ac:dyDescent="0.3">
      <c r="A12" t="s">
        <v>129</v>
      </c>
      <c r="B12" t="s">
        <v>62</v>
      </c>
      <c r="C12" t="s">
        <v>63</v>
      </c>
      <c r="E12" t="str">
        <f t="shared" si="0"/>
        <v>No entra / Observación</v>
      </c>
    </row>
    <row r="13" spans="1:9" ht="14.4" x14ac:dyDescent="0.3">
      <c r="A13" t="s">
        <v>130</v>
      </c>
      <c r="B13" t="s">
        <v>66</v>
      </c>
      <c r="C13" t="s">
        <v>67</v>
      </c>
      <c r="E13" t="str">
        <f t="shared" si="0"/>
        <v>No entra / Observación</v>
      </c>
    </row>
    <row r="14" spans="1:9" ht="14.4" x14ac:dyDescent="0.3">
      <c r="A14" t="s">
        <v>131</v>
      </c>
      <c r="B14" t="s">
        <v>71</v>
      </c>
      <c r="C14" t="s">
        <v>72</v>
      </c>
      <c r="E14" t="str">
        <f t="shared" si="0"/>
        <v>No entra / Observación</v>
      </c>
    </row>
    <row r="15" spans="1:9" ht="14.4" x14ac:dyDescent="0.3">
      <c r="A15" t="s">
        <v>132</v>
      </c>
      <c r="B15" t="s">
        <v>76</v>
      </c>
      <c r="C15" t="s">
        <v>77</v>
      </c>
      <c r="E15" t="str">
        <f t="shared" si="0"/>
        <v>No entra / Observación</v>
      </c>
    </row>
    <row r="16" spans="1:9" ht="14.4" x14ac:dyDescent="0.3">
      <c r="A16" t="s">
        <v>133</v>
      </c>
      <c r="B16" t="s">
        <v>81</v>
      </c>
      <c r="C16" t="s">
        <v>82</v>
      </c>
      <c r="E16" t="str">
        <f t="shared" si="0"/>
        <v>No entra / Observación</v>
      </c>
    </row>
    <row r="17" spans="1:9" ht="14.4" x14ac:dyDescent="0.3">
      <c r="A17" t="s">
        <v>134</v>
      </c>
      <c r="B17" s="21" t="s">
        <v>144</v>
      </c>
      <c r="C17" t="s">
        <v>86</v>
      </c>
      <c r="E17" t="str">
        <f t="shared" si="0"/>
        <v>No entra / Observación</v>
      </c>
      <c r="G17" t="s">
        <v>141</v>
      </c>
      <c r="H17" t="s">
        <v>142</v>
      </c>
      <c r="I17" t="s">
        <v>143</v>
      </c>
    </row>
    <row r="18" spans="1:9" ht="14.4" x14ac:dyDescent="0.3">
      <c r="A18" t="s">
        <v>135</v>
      </c>
      <c r="B18" t="s">
        <v>89</v>
      </c>
      <c r="C18" t="s">
        <v>90</v>
      </c>
      <c r="D18">
        <v>50</v>
      </c>
      <c r="E18" t="str">
        <f t="shared" si="0"/>
        <v>Bronze</v>
      </c>
    </row>
    <row r="19" spans="1:9" ht="14.4" x14ac:dyDescent="0.3">
      <c r="A19" t="s">
        <v>136</v>
      </c>
      <c r="B19" t="s">
        <v>93</v>
      </c>
      <c r="D19">
        <v>20</v>
      </c>
      <c r="E19" t="str">
        <f t="shared" si="0"/>
        <v>No entra / Observación</v>
      </c>
    </row>
    <row r="20" spans="1:9" ht="14.4" x14ac:dyDescent="0.3">
      <c r="A20" t="s">
        <v>137</v>
      </c>
      <c r="B20" t="s">
        <v>91</v>
      </c>
      <c r="C20" t="s">
        <v>92</v>
      </c>
      <c r="E20" t="str">
        <f t="shared" si="0"/>
        <v>No entra / Observación</v>
      </c>
    </row>
    <row r="21" spans="1:9" ht="14.4" x14ac:dyDescent="0.3">
      <c r="A21" t="s">
        <v>138</v>
      </c>
      <c r="B21" t="s">
        <v>94</v>
      </c>
      <c r="E21" t="str">
        <f t="shared" si="0"/>
        <v>No entra / Observación</v>
      </c>
    </row>
    <row r="22" spans="1:9" ht="14.4" x14ac:dyDescent="0.3">
      <c r="A22" t="s">
        <v>139</v>
      </c>
      <c r="B22" t="s">
        <v>95</v>
      </c>
      <c r="D22">
        <v>80</v>
      </c>
      <c r="E22" t="str">
        <f t="shared" si="0"/>
        <v>Gold</v>
      </c>
    </row>
    <row r="23" spans="1:9" ht="14.25" customHeight="1" x14ac:dyDescent="0.3">
      <c r="A23" t="s">
        <v>140</v>
      </c>
      <c r="B23" t="s">
        <v>96</v>
      </c>
      <c r="E23" t="str">
        <f t="shared" si="0"/>
        <v>No entra / Observación</v>
      </c>
    </row>
    <row r="24" spans="1:9" ht="14.25" customHeight="1" x14ac:dyDescent="0.35">
      <c r="A24" s="5"/>
      <c r="B24" s="5"/>
      <c r="C24" s="5"/>
      <c r="D24" s="5"/>
      <c r="E24" s="5"/>
    </row>
    <row r="25" spans="1:9" ht="18" x14ac:dyDescent="0.35">
      <c r="A25" s="5"/>
      <c r="B25" s="5"/>
      <c r="C25" s="5"/>
      <c r="D25" s="5"/>
      <c r="E25" s="5"/>
    </row>
    <row r="26" spans="1:9" ht="14.4" x14ac:dyDescent="0.3">
      <c r="F26" s="3"/>
    </row>
    <row r="27" spans="1:9" ht="14.4" x14ac:dyDescent="0.3">
      <c r="F27" s="3"/>
    </row>
    <row r="28" spans="1:9" ht="14.25" customHeight="1" x14ac:dyDescent="0.3">
      <c r="F28" s="3"/>
    </row>
    <row r="29" spans="1:9" ht="14.25" customHeight="1" x14ac:dyDescent="0.3"/>
    <row r="30" spans="1:9" ht="14.25" customHeight="1" x14ac:dyDescent="0.3">
      <c r="D30" s="21"/>
    </row>
    <row r="31" spans="1:9" ht="14.25" customHeight="1" x14ac:dyDescent="0.35">
      <c r="A31" s="5"/>
      <c r="B31" s="5"/>
      <c r="C31" s="5"/>
      <c r="D31" s="5"/>
      <c r="E31" s="5"/>
    </row>
    <row r="32" spans="1:9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</sheetData>
  <phoneticPr fontId="15" type="noConversion"/>
  <pageMargins left="0.7" right="0.7" top="0.75" bottom="0.75" header="0" footer="0"/>
  <pageSetup orientation="landscape"/>
  <tableParts count="4">
    <tablePart r:id="rId1"/>
    <tablePart r:id="rId2"/>
    <tablePart r:id="rId3"/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6924A4-909F-4837-AFF9-EFDA321EF80C}">
          <x14:formula1>
            <xm:f>'2. Semáforo'!$H$4:$H$5</xm:f>
          </x14:formula1>
          <xm:sqref>C44:E48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CF0F0-A49A-4F01-AE11-EFC0DA385D65}">
  <dimension ref="A1:H12"/>
  <sheetViews>
    <sheetView tabSelected="1" workbookViewId="0">
      <selection activeCell="D24" sqref="D24"/>
    </sheetView>
  </sheetViews>
  <sheetFormatPr baseColWidth="10" defaultRowHeight="14.4" x14ac:dyDescent="0.3"/>
  <cols>
    <col min="1" max="1" width="10.6640625" bestFit="1" customWidth="1"/>
    <col min="2" max="2" width="15.33203125" bestFit="1" customWidth="1"/>
    <col min="3" max="3" width="13.5546875" bestFit="1" customWidth="1"/>
    <col min="4" max="4" width="18.33203125" bestFit="1" customWidth="1"/>
    <col min="5" max="5" width="20.21875" bestFit="1" customWidth="1"/>
    <col min="6" max="6" width="18.88671875" bestFit="1" customWidth="1"/>
    <col min="7" max="7" width="23.21875" bestFit="1" customWidth="1"/>
    <col min="8" max="8" width="0" hidden="1" customWidth="1"/>
  </cols>
  <sheetData>
    <row r="1" spans="1:8" x14ac:dyDescent="0.3">
      <c r="A1" s="9" t="s">
        <v>112</v>
      </c>
      <c r="B1" s="9" t="s">
        <v>113</v>
      </c>
      <c r="C1" s="9" t="s">
        <v>114</v>
      </c>
      <c r="D1" s="9" t="s">
        <v>115</v>
      </c>
      <c r="E1" s="9" t="s">
        <v>116</v>
      </c>
      <c r="F1" s="9" t="s">
        <v>117</v>
      </c>
      <c r="G1" s="9" t="s">
        <v>118</v>
      </c>
      <c r="H1" s="4" t="s">
        <v>99</v>
      </c>
    </row>
    <row r="2" spans="1:8" x14ac:dyDescent="0.3">
      <c r="A2" s="10" t="s">
        <v>123</v>
      </c>
      <c r="B2" s="9">
        <v>1</v>
      </c>
      <c r="C2" s="9">
        <v>0</v>
      </c>
      <c r="D2" s="9">
        <v>0</v>
      </c>
      <c r="E2" s="9">
        <v>1</v>
      </c>
      <c r="F2" s="9">
        <f t="shared" ref="F2:F12" si="0">(B2*35)+(C2*15)+(D2*20)+(E2*30)</f>
        <v>65</v>
      </c>
      <c r="G2" s="11" t="str">
        <f t="shared" ref="G2:G12" si="1">IF(F2&gt;=80, "PROSPECCIÓN INMEDIATA", IF(F2&gt;=50, "SEGUIMIENTO SOFT", "DESCARTAR/NURTURING"))</f>
        <v>SEGUIMIENTO SOFT</v>
      </c>
      <c r="H2" s="4" t="s">
        <v>100</v>
      </c>
    </row>
    <row r="3" spans="1:8" x14ac:dyDescent="0.3">
      <c r="A3" s="10" t="s">
        <v>124</v>
      </c>
      <c r="B3" s="9">
        <v>1</v>
      </c>
      <c r="C3" s="9">
        <v>1</v>
      </c>
      <c r="D3" s="9">
        <v>1</v>
      </c>
      <c r="E3" s="9">
        <v>1</v>
      </c>
      <c r="F3" s="9">
        <f t="shared" si="0"/>
        <v>100</v>
      </c>
      <c r="G3" s="11" t="str">
        <f t="shared" si="1"/>
        <v>PROSPECCIÓN INMEDIATA</v>
      </c>
    </row>
    <row r="4" spans="1:8" x14ac:dyDescent="0.3">
      <c r="A4" s="10" t="s">
        <v>125</v>
      </c>
      <c r="B4" s="9">
        <v>1</v>
      </c>
      <c r="C4" s="9">
        <v>1</v>
      </c>
      <c r="D4" s="9">
        <v>0</v>
      </c>
      <c r="E4" s="9">
        <v>0</v>
      </c>
      <c r="F4" s="9">
        <f t="shared" si="0"/>
        <v>50</v>
      </c>
      <c r="G4" s="11" t="str">
        <f t="shared" si="1"/>
        <v>SEGUIMIENTO SOFT</v>
      </c>
      <c r="H4">
        <v>1</v>
      </c>
    </row>
    <row r="5" spans="1:8" x14ac:dyDescent="0.3">
      <c r="A5" s="10" t="s">
        <v>126</v>
      </c>
      <c r="B5" s="9">
        <v>1</v>
      </c>
      <c r="C5" s="9">
        <v>0</v>
      </c>
      <c r="D5" s="9">
        <v>1</v>
      </c>
      <c r="E5" s="9">
        <v>0</v>
      </c>
      <c r="F5" s="9">
        <f t="shared" si="0"/>
        <v>55</v>
      </c>
      <c r="G5" s="11" t="str">
        <f t="shared" si="1"/>
        <v>SEGUIMIENTO SOFT</v>
      </c>
      <c r="H5">
        <v>0</v>
      </c>
    </row>
    <row r="6" spans="1:8" x14ac:dyDescent="0.3">
      <c r="A6" s="10" t="s">
        <v>127</v>
      </c>
      <c r="B6" s="9">
        <v>1</v>
      </c>
      <c r="C6" s="9">
        <v>1</v>
      </c>
      <c r="D6" s="9">
        <v>1</v>
      </c>
      <c r="E6" s="9">
        <v>1</v>
      </c>
      <c r="F6" s="9">
        <f t="shared" si="0"/>
        <v>100</v>
      </c>
      <c r="G6" s="11" t="str">
        <f t="shared" si="1"/>
        <v>PROSPECCIÓN INMEDIATA</v>
      </c>
    </row>
    <row r="7" spans="1:8" x14ac:dyDescent="0.3">
      <c r="A7" s="10" t="s">
        <v>128</v>
      </c>
      <c r="B7" s="9">
        <v>1</v>
      </c>
      <c r="C7" s="9">
        <v>0</v>
      </c>
      <c r="D7" s="9">
        <v>1</v>
      </c>
      <c r="E7" s="9">
        <v>0</v>
      </c>
      <c r="F7" s="9">
        <f t="shared" si="0"/>
        <v>55</v>
      </c>
      <c r="G7" s="11" t="str">
        <f t="shared" si="1"/>
        <v>SEGUIMIENTO SOFT</v>
      </c>
    </row>
    <row r="8" spans="1:8" x14ac:dyDescent="0.3">
      <c r="A8" s="10" t="s">
        <v>129</v>
      </c>
      <c r="B8" s="9">
        <v>0</v>
      </c>
      <c r="C8" s="9"/>
      <c r="D8" s="9"/>
      <c r="E8" s="9"/>
      <c r="F8" s="9">
        <f t="shared" si="0"/>
        <v>0</v>
      </c>
      <c r="G8" s="11" t="str">
        <f t="shared" si="1"/>
        <v>DESCARTAR/NURTURING</v>
      </c>
    </row>
    <row r="9" spans="1:8" x14ac:dyDescent="0.3">
      <c r="A9" s="10" t="s">
        <v>130</v>
      </c>
      <c r="B9" s="9">
        <v>0</v>
      </c>
      <c r="C9" s="9"/>
      <c r="D9" s="9"/>
      <c r="E9" s="9"/>
      <c r="F9" s="9">
        <f t="shared" si="0"/>
        <v>0</v>
      </c>
      <c r="G9" s="11" t="str">
        <f t="shared" si="1"/>
        <v>DESCARTAR/NURTURING</v>
      </c>
    </row>
    <row r="10" spans="1:8" x14ac:dyDescent="0.3">
      <c r="A10" s="10" t="s">
        <v>131</v>
      </c>
      <c r="B10" s="9">
        <v>0</v>
      </c>
      <c r="C10" s="9"/>
      <c r="D10" s="9"/>
      <c r="E10" s="9"/>
      <c r="F10" s="9">
        <f t="shared" si="0"/>
        <v>0</v>
      </c>
      <c r="G10" s="11" t="str">
        <f t="shared" si="1"/>
        <v>DESCARTAR/NURTURING</v>
      </c>
    </row>
    <row r="11" spans="1:8" x14ac:dyDescent="0.3">
      <c r="A11" s="10" t="s">
        <v>132</v>
      </c>
      <c r="B11" s="9">
        <v>0</v>
      </c>
      <c r="C11" s="9"/>
      <c r="D11" s="9"/>
      <c r="E11" s="9"/>
      <c r="F11" s="9">
        <f t="shared" si="0"/>
        <v>0</v>
      </c>
      <c r="G11" s="11" t="str">
        <f t="shared" si="1"/>
        <v>DESCARTAR/NURTURING</v>
      </c>
    </row>
    <row r="12" spans="1:8" x14ac:dyDescent="0.3">
      <c r="A12" s="10" t="s">
        <v>133</v>
      </c>
      <c r="B12" s="9">
        <v>0</v>
      </c>
      <c r="C12" s="9"/>
      <c r="D12" s="9"/>
      <c r="E12" s="9"/>
      <c r="F12" s="9">
        <f t="shared" si="0"/>
        <v>0</v>
      </c>
      <c r="G12" s="11" t="str">
        <f t="shared" si="1"/>
        <v>DESCARTAR/NURTURING</v>
      </c>
    </row>
  </sheetData>
  <phoneticPr fontId="16" type="noConversion"/>
  <dataValidations count="1">
    <dataValidation type="list" allowBlank="1" showInputMessage="1" showErrorMessage="1" sqref="B2:E12" xr:uid="{C26924A4-909F-4837-AFF9-EFDA321EF80C}">
      <formula1>$H$4:$H$5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C2C83-ECBC-47AE-9F25-3E883FF040CE}">
  <dimension ref="A1:C5"/>
  <sheetViews>
    <sheetView workbookViewId="0">
      <selection activeCell="D1" sqref="D1:D9"/>
    </sheetView>
  </sheetViews>
  <sheetFormatPr baseColWidth="10" defaultRowHeight="14.4" x14ac:dyDescent="0.3"/>
  <cols>
    <col min="1" max="1" width="19.88671875" customWidth="1"/>
    <col min="2" max="2" width="13.33203125" customWidth="1"/>
    <col min="3" max="3" width="22.33203125" customWidth="1"/>
  </cols>
  <sheetData>
    <row r="1" spans="1:3" ht="28.2" thickBot="1" x14ac:dyDescent="0.35">
      <c r="A1" s="7" t="s">
        <v>101</v>
      </c>
      <c r="B1" s="7" t="s">
        <v>102</v>
      </c>
      <c r="C1" s="7" t="s">
        <v>103</v>
      </c>
    </row>
    <row r="2" spans="1:3" ht="42" thickBot="1" x14ac:dyDescent="0.35">
      <c r="A2" s="7" t="s">
        <v>104</v>
      </c>
      <c r="B2" s="8">
        <v>35</v>
      </c>
      <c r="C2" s="8" t="s">
        <v>105</v>
      </c>
    </row>
    <row r="3" spans="1:3" ht="42" thickBot="1" x14ac:dyDescent="0.35">
      <c r="A3" s="7" t="s">
        <v>106</v>
      </c>
      <c r="B3" s="8">
        <v>30</v>
      </c>
      <c r="C3" s="8" t="s">
        <v>107</v>
      </c>
    </row>
    <row r="4" spans="1:3" ht="55.8" thickBot="1" x14ac:dyDescent="0.35">
      <c r="A4" s="7" t="s">
        <v>108</v>
      </c>
      <c r="B4" s="8">
        <v>20</v>
      </c>
      <c r="C4" s="8" t="s">
        <v>109</v>
      </c>
    </row>
    <row r="5" spans="1:3" ht="42" thickBot="1" x14ac:dyDescent="0.35">
      <c r="A5" s="7" t="s">
        <v>110</v>
      </c>
      <c r="B5" s="8">
        <v>15</v>
      </c>
      <c r="C5" s="8" t="s">
        <v>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D68E8-0786-4E7D-921D-EE5DC334F421}">
  <dimension ref="A1:C8"/>
  <sheetViews>
    <sheetView workbookViewId="0">
      <selection activeCell="C17" sqref="C17"/>
    </sheetView>
  </sheetViews>
  <sheetFormatPr baseColWidth="10" defaultRowHeight="14.4" x14ac:dyDescent="0.3"/>
  <cols>
    <col min="1" max="1" width="54.33203125" bestFit="1" customWidth="1"/>
    <col min="2" max="2" width="10.21875" bestFit="1" customWidth="1"/>
    <col min="3" max="3" width="52.88671875" bestFit="1" customWidth="1"/>
  </cols>
  <sheetData>
    <row r="1" spans="1:3" ht="25.8" x14ac:dyDescent="0.5">
      <c r="A1" s="12" t="s">
        <v>97</v>
      </c>
      <c r="B1" s="12" t="s">
        <v>5</v>
      </c>
      <c r="C1" s="12" t="s">
        <v>6</v>
      </c>
    </row>
    <row r="2" spans="1:3" x14ac:dyDescent="0.3">
      <c r="A2" s="13" t="s">
        <v>12</v>
      </c>
      <c r="B2" s="14">
        <v>0.25</v>
      </c>
      <c r="C2" s="15" t="s">
        <v>13</v>
      </c>
    </row>
    <row r="3" spans="1:3" x14ac:dyDescent="0.3">
      <c r="A3" s="16" t="s">
        <v>20</v>
      </c>
      <c r="B3" s="17">
        <v>0.2</v>
      </c>
      <c r="C3" s="18" t="s">
        <v>21</v>
      </c>
    </row>
    <row r="4" spans="1:3" x14ac:dyDescent="0.3">
      <c r="A4" s="13" t="s">
        <v>27</v>
      </c>
      <c r="B4" s="14">
        <v>0.15</v>
      </c>
      <c r="C4" s="15" t="s">
        <v>28</v>
      </c>
    </row>
    <row r="5" spans="1:3" x14ac:dyDescent="0.3">
      <c r="A5" s="16" t="s">
        <v>34</v>
      </c>
      <c r="B5" s="17">
        <v>0.15</v>
      </c>
      <c r="C5" s="18" t="s">
        <v>35</v>
      </c>
    </row>
    <row r="6" spans="1:3" x14ac:dyDescent="0.3">
      <c r="A6" s="13" t="s">
        <v>40</v>
      </c>
      <c r="B6" s="14">
        <v>0.1</v>
      </c>
      <c r="C6" s="15" t="s">
        <v>41</v>
      </c>
    </row>
    <row r="7" spans="1:3" x14ac:dyDescent="0.3">
      <c r="A7" s="16" t="s">
        <v>47</v>
      </c>
      <c r="B7" s="17">
        <v>0.1</v>
      </c>
      <c r="C7" s="18" t="s">
        <v>48</v>
      </c>
    </row>
    <row r="8" spans="1:3" x14ac:dyDescent="0.3">
      <c r="A8" s="13" t="s">
        <v>51</v>
      </c>
      <c r="B8" s="14">
        <v>0.05</v>
      </c>
      <c r="C8" s="15" t="s">
        <v>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A050B-1F1B-42E3-90ED-7AF98FE5B248}">
  <dimension ref="A1:B5"/>
  <sheetViews>
    <sheetView workbookViewId="0">
      <selection activeCell="B11" sqref="B11"/>
    </sheetView>
  </sheetViews>
  <sheetFormatPr baseColWidth="10" defaultRowHeight="14.4" x14ac:dyDescent="0.3"/>
  <cols>
    <col min="1" max="1" width="20" bestFit="1" customWidth="1"/>
    <col min="2" max="2" width="41.109375" bestFit="1" customWidth="1"/>
  </cols>
  <sheetData>
    <row r="1" spans="1:2" ht="25.8" x14ac:dyDescent="0.5">
      <c r="A1" s="19" t="s">
        <v>64</v>
      </c>
      <c r="B1" s="19" t="s">
        <v>65</v>
      </c>
    </row>
    <row r="2" spans="1:2" x14ac:dyDescent="0.3">
      <c r="A2" s="18">
        <v>10</v>
      </c>
      <c r="B2" s="18" t="s">
        <v>68</v>
      </c>
    </row>
    <row r="3" spans="1:2" x14ac:dyDescent="0.3">
      <c r="A3" s="18">
        <v>7</v>
      </c>
      <c r="B3" s="18" t="s">
        <v>73</v>
      </c>
    </row>
    <row r="4" spans="1:2" x14ac:dyDescent="0.3">
      <c r="A4" s="18">
        <v>4</v>
      </c>
      <c r="B4" s="18" t="s">
        <v>78</v>
      </c>
    </row>
    <row r="5" spans="1:2" x14ac:dyDescent="0.3">
      <c r="A5" s="18">
        <v>1</v>
      </c>
      <c r="B5" s="18" t="s">
        <v>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ED9C6-FE92-4CE9-919C-C310AF14243F}">
  <dimension ref="A1:D9"/>
  <sheetViews>
    <sheetView workbookViewId="0">
      <selection sqref="A1:D9"/>
    </sheetView>
  </sheetViews>
  <sheetFormatPr baseColWidth="10" defaultRowHeight="14.4" x14ac:dyDescent="0.3"/>
  <cols>
    <col min="1" max="1" width="64.33203125" bestFit="1" customWidth="1"/>
    <col min="2" max="2" width="15" bestFit="1" customWidth="1"/>
    <col min="3" max="3" width="17.44140625" bestFit="1" customWidth="1"/>
    <col min="4" max="4" width="41.109375" bestFit="1" customWidth="1"/>
  </cols>
  <sheetData>
    <row r="1" spans="1:4" ht="28.8" x14ac:dyDescent="0.55000000000000004">
      <c r="A1" s="20" t="s">
        <v>98</v>
      </c>
      <c r="B1" s="20" t="s">
        <v>7</v>
      </c>
      <c r="C1" s="20" t="s">
        <v>8</v>
      </c>
      <c r="D1" s="20" t="s">
        <v>9</v>
      </c>
    </row>
    <row r="2" spans="1:4" x14ac:dyDescent="0.3">
      <c r="A2" s="18" t="s">
        <v>14</v>
      </c>
      <c r="B2" s="18" t="s">
        <v>15</v>
      </c>
      <c r="C2" s="18" t="s">
        <v>16</v>
      </c>
      <c r="D2" s="18" t="s">
        <v>17</v>
      </c>
    </row>
    <row r="3" spans="1:4" x14ac:dyDescent="0.3">
      <c r="A3" s="18" t="s">
        <v>22</v>
      </c>
      <c r="B3" s="18" t="s">
        <v>23</v>
      </c>
      <c r="C3" s="18" t="s">
        <v>24</v>
      </c>
      <c r="D3" s="18" t="s">
        <v>17</v>
      </c>
    </row>
    <row r="4" spans="1:4" x14ac:dyDescent="0.3">
      <c r="A4" s="18" t="s">
        <v>29</v>
      </c>
      <c r="B4" s="18" t="s">
        <v>30</v>
      </c>
      <c r="C4" s="18" t="s">
        <v>31</v>
      </c>
      <c r="D4" s="18" t="s">
        <v>17</v>
      </c>
    </row>
    <row r="5" spans="1:4" x14ac:dyDescent="0.3">
      <c r="A5" s="18" t="s">
        <v>36</v>
      </c>
      <c r="B5" s="18" t="s">
        <v>30</v>
      </c>
      <c r="C5" s="18" t="s">
        <v>37</v>
      </c>
      <c r="D5" s="18" t="s">
        <v>17</v>
      </c>
    </row>
    <row r="6" spans="1:4" x14ac:dyDescent="0.3">
      <c r="A6" s="18" t="s">
        <v>42</v>
      </c>
      <c r="B6" s="18" t="s">
        <v>43</v>
      </c>
      <c r="C6" s="18" t="s">
        <v>44</v>
      </c>
      <c r="D6" s="18" t="s">
        <v>17</v>
      </c>
    </row>
    <row r="7" spans="1:4" x14ac:dyDescent="0.3">
      <c r="A7" s="18" t="s">
        <v>49</v>
      </c>
      <c r="B7" s="18" t="s">
        <v>43</v>
      </c>
      <c r="C7" s="18" t="s">
        <v>44</v>
      </c>
      <c r="D7" s="18" t="s">
        <v>17</v>
      </c>
    </row>
    <row r="8" spans="1:4" x14ac:dyDescent="0.3">
      <c r="A8" s="18" t="s">
        <v>53</v>
      </c>
      <c r="B8" s="18" t="s">
        <v>54</v>
      </c>
      <c r="C8" s="18" t="s">
        <v>55</v>
      </c>
      <c r="D8" s="18" t="s">
        <v>17</v>
      </c>
    </row>
    <row r="9" spans="1:4" x14ac:dyDescent="0.3">
      <c r="A9" s="16" t="s">
        <v>58</v>
      </c>
      <c r="B9" s="16" t="s">
        <v>59</v>
      </c>
      <c r="C9" s="16" t="s">
        <v>60</v>
      </c>
      <c r="D9" s="16" t="s">
        <v>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7888-ADC1-4683-99FD-76085F75350D}">
  <dimension ref="A1:B5"/>
  <sheetViews>
    <sheetView workbookViewId="0">
      <selection sqref="A1:B5"/>
    </sheetView>
  </sheetViews>
  <sheetFormatPr baseColWidth="10" defaultRowHeight="14.4" x14ac:dyDescent="0.3"/>
  <cols>
    <col min="1" max="1" width="25.44140625" bestFit="1" customWidth="1"/>
    <col min="2" max="2" width="64" bestFit="1" customWidth="1"/>
  </cols>
  <sheetData>
    <row r="1" spans="1:2" ht="33.6" x14ac:dyDescent="0.65">
      <c r="A1" s="6" t="s">
        <v>69</v>
      </c>
      <c r="B1" s="6" t="s">
        <v>70</v>
      </c>
    </row>
    <row r="2" spans="1:2" x14ac:dyDescent="0.3">
      <c r="A2" s="1" t="s">
        <v>74</v>
      </c>
      <c r="B2" s="2" t="s">
        <v>75</v>
      </c>
    </row>
    <row r="3" spans="1:2" x14ac:dyDescent="0.3">
      <c r="A3" s="1" t="s">
        <v>79</v>
      </c>
      <c r="B3" s="2" t="s">
        <v>80</v>
      </c>
    </row>
    <row r="4" spans="1:2" x14ac:dyDescent="0.3">
      <c r="A4" s="1" t="s">
        <v>84</v>
      </c>
      <c r="B4" s="2" t="s">
        <v>85</v>
      </c>
    </row>
    <row r="5" spans="1:2" x14ac:dyDescent="0.3">
      <c r="A5" s="1" t="s">
        <v>87</v>
      </c>
      <c r="B5" s="2" t="s">
        <v>88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1. Lead Scoring</vt:lpstr>
      <vt:lpstr>2. Semáforo</vt:lpstr>
      <vt:lpstr>3. Intención Operativa</vt:lpstr>
      <vt:lpstr>4. Criterio de Alcance</vt:lpstr>
      <vt:lpstr>5. Tabla de Puntuación</vt:lpstr>
      <vt:lpstr>6. Tabla de Objetivización</vt:lpstr>
      <vt:lpstr>7. Rango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Anderson Romero</dc:creator>
  <cp:lastModifiedBy>Anderson Romero</cp:lastModifiedBy>
  <dcterms:created xsi:type="dcterms:W3CDTF">2025-11-19T19:57:18Z</dcterms:created>
  <dcterms:modified xsi:type="dcterms:W3CDTF">2026-03-18T18:48:22Z</dcterms:modified>
</cp:coreProperties>
</file>