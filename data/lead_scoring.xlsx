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yd\Desktop\"/>
    </mc:Choice>
  </mc:AlternateContent>
  <xr:revisionPtr revIDLastSave="0" documentId="8_{173E4CB2-0F94-42A5-B479-3F171FC2156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Lead Scoring" sheetId="1" r:id="rId1"/>
    <sheet name="Costes de Marketing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G34" i="1"/>
  <c r="F34" i="1"/>
  <c r="F1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0" i="1"/>
  <c r="F21" i="1"/>
  <c r="F22" i="1"/>
  <c r="F23" i="1"/>
  <c r="F24" i="1"/>
  <c r="C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<sst xmlns="http://schemas.openxmlformats.org/spreadsheetml/2006/main" count="225" uniqueCount="205">
  <si>
    <t>ID</t>
  </si>
  <si>
    <t>Nombre / Tipo</t>
  </si>
  <si>
    <t>Sector</t>
  </si>
  <si>
    <t>Contacto Ideal</t>
  </si>
  <si>
    <t>Score</t>
  </si>
  <si>
    <t>Tier Objetivo</t>
  </si>
  <si>
    <t>Scorecard que permite comparar objetivamente a distintos candidatos a socio y decidir con quién merece la pena firmar y en qué tier (Gold/Silver/Bronze) se coloca.</t>
  </si>
  <si>
    <t>Maquinaria Industrial</t>
  </si>
  <si>
    <t>Director Internacionalización</t>
  </si>
  <si>
    <t>Alimentación Procesada</t>
  </si>
  <si>
    <t>Responsable expansión</t>
  </si>
  <si>
    <t xml:space="preserve"> Peso </t>
  </si>
  <si>
    <t xml:space="preserve"> Qué mide                                                     </t>
  </si>
  <si>
    <t xml:space="preserve"> Nota      </t>
  </si>
  <si>
    <t xml:space="preserve"> × Peso     </t>
  </si>
  <si>
    <t xml:space="preserve"> Puntos parciales             </t>
  </si>
  <si>
    <t>Multisector</t>
  </si>
  <si>
    <t>Director Regional Catalunya</t>
  </si>
  <si>
    <t xml:space="preserve"> Acceso a decisores    </t>
  </si>
  <si>
    <t xml:space="preserve"> ¿Llega al CEO / dueño o solo a mandos medios?                </t>
  </si>
  <si>
    <t xml:space="preserve"> Acceso decisores  </t>
  </si>
  <si>
    <t xml:space="preserve"> 10 × 25 % </t>
  </si>
  <si>
    <t xml:space="preserve"> = 2,5 </t>
  </si>
  <si>
    <t xml:space="preserve">                              </t>
  </si>
  <si>
    <t>Industria alemana</t>
  </si>
  <si>
    <t>Partner expatriados</t>
  </si>
  <si>
    <t xml:space="preserve"> Volumen potencial</t>
  </si>
  <si>
    <t xml:space="preserve"> ¿Cuántas empresas puede referirnos al año?                   </t>
  </si>
  <si>
    <t xml:space="preserve"> Volumen           </t>
  </si>
  <si>
    <t xml:space="preserve"> 7 × 20 %  </t>
  </si>
  <si>
    <t xml:space="preserve"> = 1,4</t>
  </si>
  <si>
    <t>Textil</t>
  </si>
  <si>
    <t>Socio consultoría</t>
  </si>
  <si>
    <t xml:space="preserve"> Alcance geográfico   </t>
  </si>
  <si>
    <t xml:space="preserve"> ¿Opera en mercados que nos interesan (UK, DE, ITA)?          </t>
  </si>
  <si>
    <t xml:space="preserve"> Alcance           </t>
  </si>
  <si>
    <t xml:space="preserve"> 7 × 15 %  </t>
  </si>
  <si>
    <t xml:space="preserve"> = 1,05</t>
  </si>
  <si>
    <t>Industria General</t>
  </si>
  <si>
    <t>Jefe Proyectos UE</t>
  </si>
  <si>
    <t xml:space="preserve"> Credibilidad sectorial</t>
  </si>
  <si>
    <t xml:space="preserve"> ¿Tiene trayectoria y marca reconocida?                       </t>
  </si>
  <si>
    <t xml:space="preserve"> Credibilidad      </t>
  </si>
  <si>
    <t xml:space="preserve"> = 1,05 </t>
  </si>
  <si>
    <t>Exportadores</t>
  </si>
  <si>
    <t>Delegado Berlín/Londres</t>
  </si>
  <si>
    <t xml:space="preserve"> Cultural fit    </t>
  </si>
  <si>
    <t xml:space="preserve"> ¿Comparte nuestros valores y entiende el modelo “no-filial”? </t>
  </si>
  <si>
    <t xml:space="preserve"> Cultural fit      </t>
  </si>
  <si>
    <t xml:space="preserve"> 10 × 10 % </t>
  </si>
  <si>
    <t xml:space="preserve"> = 1,0  </t>
  </si>
  <si>
    <t>Manufactura</t>
  </si>
  <si>
    <t>Channel Manager</t>
  </si>
  <si>
    <t xml:space="preserve"> Reciprocidad          </t>
  </si>
  <si>
    <t xml:space="preserve"> ¿Está dispuesto a abrirnos su red?                           </t>
  </si>
  <si>
    <t xml:space="preserve"> Reciprocidad      </t>
  </si>
  <si>
    <t>Vocal relaciones empresas</t>
  </si>
  <si>
    <t xml:space="preserve"> Capacidad técnica    </t>
  </si>
  <si>
    <t xml:space="preserve"> ¿Puede explicar / co-vender nuestro servicio?                </t>
  </si>
  <si>
    <t xml:space="preserve"> Capacidad técnica </t>
  </si>
  <si>
    <t xml:space="preserve"> 7 × 5 %   </t>
  </si>
  <si>
    <t xml:space="preserve"> = 0,35 </t>
  </si>
  <si>
    <t>Eventos</t>
  </si>
  <si>
    <t>Director feria INDUSTRY</t>
  </si>
  <si>
    <t xml:space="preserve"> TOTAL        </t>
  </si>
  <si>
    <t xml:space="preserve">           </t>
  </si>
  <si>
    <t xml:space="preserve">            </t>
  </si>
  <si>
    <t xml:space="preserve"> 8,4 / 10 → 84 puntos</t>
  </si>
  <si>
    <t>Componentes auto</t>
  </si>
  <si>
    <t>Socio fundador</t>
  </si>
  <si>
    <t xml:space="preserve"> Puntuación </t>
  </si>
  <si>
    <t xml:space="preserve"> Descriptor genérico             </t>
  </si>
  <si>
    <t>Cerámica / mueble</t>
  </si>
  <si>
    <t>Director</t>
  </si>
  <si>
    <t xml:space="preserve"> Excelente / supera expectativas </t>
  </si>
  <si>
    <t xml:space="preserve"> Rango            </t>
  </si>
  <si>
    <t xml:space="preserve"> Acción                                                     </t>
  </si>
  <si>
    <t>Químico / farma</t>
  </si>
  <si>
    <t>Responsable internacional</t>
  </si>
  <si>
    <t xml:space="preserve"> Bueno / cumple lo exigido       </t>
  </si>
  <si>
    <t xml:space="preserve"> ≥ 80 puntos  </t>
  </si>
  <si>
    <t xml:space="preserve"> Gold → Contrato 15 % comisión + créditos + co-branding </t>
  </si>
  <si>
    <t>Industria</t>
  </si>
  <si>
    <t>Key Account Manager</t>
  </si>
  <si>
    <t xml:space="preserve"> Regular / justito o dudoso      </t>
  </si>
  <si>
    <t xml:space="preserve"> 60-79 puntos</t>
  </si>
  <si>
    <t xml:space="preserve"> Silver → 12 % + créditos básicos                       </t>
  </si>
  <si>
    <t>Maquinaria italiana</t>
  </si>
  <si>
    <t>Socio</t>
  </si>
  <si>
    <t xml:space="preserve"> Pobre / claramente insuficiente </t>
  </si>
  <si>
    <t xml:space="preserve"> 40-59 puntos </t>
  </si>
  <si>
    <t xml:space="preserve"> Bronze → 10 % solo cash, sin créditos                  </t>
  </si>
  <si>
    <t>Expatriados UK</t>
  </si>
  <si>
    <t>Partner</t>
  </si>
  <si>
    <t xml:space="preserve"> &lt; 40 puntos  </t>
  </si>
  <si>
    <t xml:space="preserve"> No entra en el programa (o se deja en “observación”)   </t>
  </si>
  <si>
    <t>Alimentación</t>
  </si>
  <si>
    <t>Directora</t>
  </si>
  <si>
    <t>Maquinaria</t>
  </si>
  <si>
    <t>Responsable producto</t>
  </si>
  <si>
    <t xml:space="preserve">Mes </t>
  </si>
  <si>
    <t xml:space="preserve"> Actividad </t>
  </si>
  <si>
    <t xml:space="preserve"> Costo Estimado (€) </t>
  </si>
  <si>
    <t xml:space="preserve"> Costo Real (€) </t>
  </si>
  <si>
    <t xml:space="preserve"> Variación (€) </t>
  </si>
  <si>
    <t xml:space="preserve"> Notas</t>
  </si>
  <si>
    <t xml:space="preserve">Mes 1 </t>
  </si>
  <si>
    <t xml:space="preserve"> Videos YouTube/LinkedIn (propios) </t>
  </si>
  <si>
    <t xml:space="preserve"> Producción interna</t>
  </si>
  <si>
    <t xml:space="preserve"> Webinars gratuitos </t>
  </si>
  <si>
    <t xml:space="preserve"> Zoom/Google Meet</t>
  </si>
  <si>
    <t xml:space="preserve"> Mantenimiento web básico </t>
  </si>
  <si>
    <t xml:space="preserve"> Infraestructura existente</t>
  </si>
  <si>
    <t xml:space="preserve">Mes 2 </t>
  </si>
  <si>
    <t xml:space="preserve"> Contenido LinkedIn </t>
  </si>
  <si>
    <t xml:space="preserve"> Trabajo interno</t>
  </si>
  <si>
    <t xml:space="preserve"> Webinar industrial </t>
  </si>
  <si>
    <t xml:space="preserve"> Difusión orgánica</t>
  </si>
  <si>
    <t xml:space="preserve">Mes 3 </t>
  </si>
  <si>
    <t xml:space="preserve"> SEO básico interno </t>
  </si>
  <si>
    <t xml:space="preserve"> Sin herramientas de pago</t>
  </si>
  <si>
    <t xml:space="preserve"> Edición vídeos tutoriales </t>
  </si>
  <si>
    <t xml:space="preserve"> Recursos propios</t>
  </si>
  <si>
    <t xml:space="preserve">Mes 4 </t>
  </si>
  <si>
    <t xml:space="preserve"> Presentaciones comerciales </t>
  </si>
  <si>
    <t xml:space="preserve"> Relaciones institucionales </t>
  </si>
  <si>
    <t xml:space="preserve"> ACCIÓ / Cámaras</t>
  </si>
  <si>
    <t xml:space="preserve">Mes 5 </t>
  </si>
  <si>
    <t xml:space="preserve"> Plugins / hosting mínimo </t>
  </si>
  <si>
    <t xml:space="preserve"> Ajustes web</t>
  </si>
  <si>
    <t xml:space="preserve"> Mini-landing industrial </t>
  </si>
  <si>
    <t xml:space="preserve"> Si se externaliza algo</t>
  </si>
  <si>
    <t xml:space="preserve">Mes 6 </t>
  </si>
  <si>
    <t xml:space="preserve"> LinkedIn Ads piloto </t>
  </si>
  <si>
    <t xml:space="preserve"> Activación al firmar 4 partners</t>
  </si>
  <si>
    <t xml:space="preserve"> Marketing de pago inicial </t>
  </si>
  <si>
    <t xml:space="preserve"> A/B test mínimo</t>
  </si>
  <si>
    <t xml:space="preserve">Hito </t>
  </si>
  <si>
    <t xml:space="preserve"> Condición </t>
  </si>
  <si>
    <t xml:space="preserve"> Inversión Recomendada (€) </t>
  </si>
  <si>
    <t xml:space="preserve"> Activar Ahora (Sí/No))</t>
  </si>
  <si>
    <t xml:space="preserve">1 Partner firmado </t>
  </si>
  <si>
    <t xml:space="preserve"> &gt;=1 </t>
  </si>
  <si>
    <t xml:space="preserve">2 Partners firmados </t>
  </si>
  <si>
    <t xml:space="preserve"> &gt;=2 </t>
  </si>
  <si>
    <t xml:space="preserve">3 Partners firmados </t>
  </si>
  <si>
    <t xml:space="preserve"> &gt;=3 </t>
  </si>
  <si>
    <t xml:space="preserve">4 Partners firmados </t>
  </si>
  <si>
    <t xml:space="preserve"> &gt;=4 </t>
  </si>
  <si>
    <t>Maquinaria de Llenado Industrial de Líquidos</t>
  </si>
  <si>
    <t>Fimaks Makina A.Ş.</t>
  </si>
  <si>
    <t>Maquinaria Agrícola (Empacado y Envoltura)</t>
  </si>
  <si>
    <t>Icotek</t>
  </si>
  <si>
    <t>Componentes de Ingeniería Especializada</t>
  </si>
  <si>
    <t>Embalaje Flexible y Film</t>
  </si>
  <si>
    <t>↓</t>
  </si>
  <si>
    <t>Gold</t>
  </si>
  <si>
    <t>Silver</t>
  </si>
  <si>
    <t>Bronze</t>
  </si>
  <si>
    <t xml:space="preserve"> Tabla de Criterio de Alcance              </t>
  </si>
  <si>
    <t xml:space="preserve"> Tabla de Criterio para Objetivización</t>
  </si>
  <si>
    <t>Sí</t>
  </si>
  <si>
    <t>No</t>
  </si>
  <si>
    <t>Señal de Intención Operativa</t>
  </si>
  <si>
    <t>Peso (0-100)</t>
  </si>
  <si>
    <t>Justificación</t>
  </si>
  <si>
    <t>Ofertas de empleo activas</t>
  </si>
  <si>
    <t>Indica presupuesto aprobado y un "dolor" por falta de manos.</t>
  </si>
  <si>
    <t>Descarga Lead Magnet + Interacción</t>
  </si>
  <si>
    <t>Es una señal directa de interés en tu solución específica.</t>
  </si>
  <si>
    <t>Apertura reciente de mercado</t>
  </si>
  <si>
    <t>Tienen procesos nuevos y poco optimizados; están abiertos a ayuda.</t>
  </si>
  <si>
    <t>Presencia en ferias industriales</t>
  </si>
  <si>
    <t>Indica capacidad de inversión y búsqueda activa de partners.</t>
  </si>
  <si>
    <t>Lead</t>
  </si>
  <si>
    <t>Oferta de Empleo</t>
  </si>
  <si>
    <t>Feria Industrial</t>
  </si>
  <si>
    <t>Apertura de Mercado</t>
  </si>
  <si>
    <t>Interación Lead Magnet</t>
  </si>
  <si>
    <t>Probabilidad de Éxito</t>
  </si>
  <si>
    <t>Semáforo</t>
  </si>
  <si>
    <t xml:space="preserve">Si el Lead cumple con el requisito, se debe marcar con un 1 en la casilla </t>
  </si>
  <si>
    <t>Lead Scoring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</si>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</sst>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</font>
    <font>
      <b/>
      <sz val="20"/>
      <color theme="1"/>
      <name val="Aptos Narrow"/>
      <family val="2"/>
    </font>
    <font>
      <b/>
      <sz val="22"/>
      <color theme="1"/>
      <name val="Aptos Narrow"/>
      <family val="2"/>
    </font>
    <font>
      <b/>
      <i/>
      <sz val="22"/>
      <color theme="1"/>
      <name val="Aptos Narrow"/>
      <family val="2"/>
      <scheme val="minor"/>
    </font>
    <font>
      <b/>
      <sz val="20"/>
      <color rgb="FF00610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36"/>
      <color theme="1"/>
      <name val="Aptos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ptos Narrow"/>
      <family val="2"/>
    </font>
    <font>
      <b/>
      <sz val="48"/>
      <color theme="1"/>
      <name val="Aptos Narrow"/>
      <family val="2"/>
      <scheme val="major"/>
    </font>
    <font>
      <sz val="8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6" fillId="3" borderId="1" applyNumberFormat="0" applyAlignment="0" applyProtection="0"/>
    <xf numFmtId="0" fontId="7" fillId="4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9" fontId="4" fillId="0" borderId="0" xfId="0" applyNumberFormat="1" applyFont="1"/>
    <xf numFmtId="164" fontId="4" fillId="0" borderId="0" xfId="0" applyNumberFormat="1" applyFont="1"/>
    <xf numFmtId="164" fontId="2" fillId="0" borderId="0" xfId="0" applyNumberFormat="1" applyFont="1"/>
    <xf numFmtId="0" fontId="0" fillId="0" borderId="0" xfId="0" applyAlignment="1">
      <alignment vertical="center" wrapText="1"/>
    </xf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0" xfId="1" applyFont="1"/>
    <xf numFmtId="0" fontId="14" fillId="4" borderId="0" xfId="3" applyFont="1"/>
    <xf numFmtId="0" fontId="15" fillId="0" borderId="0" xfId="0" applyFont="1"/>
    <xf numFmtId="0" fontId="17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6" fillId="3" borderId="1" xfId="2"/>
    <xf numFmtId="0" fontId="6" fillId="3" borderId="1" xfId="2" applyAlignment="1">
      <alignment vertical="center" wrapText="1"/>
    </xf>
    <xf numFmtId="0" fontId="6" fillId="3" borderId="1" xfId="2" quotePrefix="1"/>
    <xf numFmtId="0" fontId="18" fillId="0" borderId="0" xfId="0" applyFont="1"/>
    <xf numFmtId="0" fontId="19" fillId="0" borderId="0" xfId="0" applyFont="1"/>
  </cellXfs>
  <cellStyles count="4">
    <cellStyle name="Bueno" xfId="1" builtinId="26"/>
    <cellStyle name="Énfasis5" xfId="3" builtinId="45"/>
    <cellStyle name="Normal" xfId="0" builtinId="0"/>
    <cellStyle name="Salida" xfId="2" builtinId="21"/>
  </cellStyles>
  <dxfs count="34">
    <dxf>
      <font>
        <strike val="0"/>
        <outline val="0"/>
        <shadow val="0"/>
        <u val="none"/>
        <vertAlign val="baseline"/>
        <sz val="26"/>
        <color theme="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20"/>
        <color rgb="FF0061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</font>
    </dxf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2" defaultPivotStyle="PivotStyleLight16">
    <tableStyle name="Pipeline de partners-style" pivot="0" count="3" xr9:uid="{00000000-0011-0000-FFFF-FFFF00000000}">
      <tableStyleElement type="headerRow" dxfId="33"/>
      <tableStyleElement type="firstRowStripe" dxfId="32"/>
      <tableStyleElement type="secondRowStripe" dxfId="31"/>
    </tableStyle>
    <tableStyle name="Pipeline de partners-style 2" pivot="0" count="3" xr9:uid="{00000000-0011-0000-FFFF-FFFF01000000}">
      <tableStyleElement type="headerRow" dxfId="30"/>
      <tableStyleElement type="firstRowStripe" dxfId="29"/>
      <tableStyleElement type="secondRowStripe" dxfId="28"/>
    </tableStyle>
    <tableStyle name="Pipeline de partners-style 3" pivot="0" count="3" xr9:uid="{00000000-0011-0000-FFFF-FFFF02000000}">
      <tableStyleElement type="headerRow" dxfId="27"/>
      <tableStyleElement type="firstRowStripe" dxfId="26"/>
      <tableStyleElement type="secondRowStripe" dxfId="25"/>
    </tableStyle>
    <tableStyle name="Pipeline de partners-style 4" pivot="0" count="3" xr9:uid="{00000000-0011-0000-FFFF-FFFF03000000}">
      <tableStyleElement type="headerRow" dxfId="24"/>
      <tableStyleElement type="firstRowStripe" dxfId="23"/>
      <tableStyleElement type="secondRowStripe" dxfId="22"/>
    </tableStyle>
    <tableStyle name="Pipeline de partners-style 5" pivot="0" count="3" xr9:uid="{00000000-0011-0000-FFFF-FFFF04000000}">
      <tableStyleElement type="headerRow" dxfId="21"/>
      <tableStyleElement type="firstRowStripe" dxfId="20"/>
      <tableStyleElement type="secondRowStripe" dxfId="19"/>
    </tableStyle>
    <tableStyle name="Sistema de incentivos-style" pivot="0" count="3" xr9:uid="{00000000-0011-0000-FFFF-FFFF05000000}">
      <tableStyleElement type="headerRow" dxfId="18"/>
      <tableStyleElement type="firstRowStripe" dxfId="17"/>
      <tableStyleElement type="secondRowStripe" dxfId="16"/>
    </tableStyle>
    <tableStyle name="Costes de Marketing-style" pivot="0" count="3" xr9:uid="{00000000-0011-0000-FFFF-FFFF06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24" headerRowDxfId="12" dataDxfId="11" totalsRowDxfId="10">
  <tableColumns count="6">
    <tableColumn id="1" xr3:uid="{00000000-0010-0000-0000-000001000000}" name="ID" dataDxfId="9"/>
    <tableColumn id="2" xr3:uid="{00000000-0010-0000-0000-000002000000}" name="Nombre / Tipo" dataDxfId="8"/>
    <tableColumn id="3" xr3:uid="{00000000-0010-0000-0000-000003000000}" name="Sector" dataDxfId="7"/>
    <tableColumn id="4" xr3:uid="{00000000-0010-0000-0000-000004000000}" name="Contacto Ideal" dataDxfId="6"/>
    <tableColumn id="5" xr3:uid="{00000000-0010-0000-0000-000005000000}" name="Score" dataDxfId="5"/>
    <tableColumn id="6" xr3:uid="{00000000-0010-0000-0000-000006000000}" name="Tier Objetivo" dataDxfId="4">
      <calculatedColumnFormula>IF(E3&gt;=80,"Gold",IF(E3&gt;=60,"Silver",IF(E3&gt;=40,"Bronze","No entra / Observación")))</calculatedColumnFormula>
    </tableColumn>
  </tableColumns>
  <tableStyleInfo name="Pipeline de partn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H3:J11" headerRowDxfId="3">
  <tableColumns count="3">
    <tableColumn id="1" xr3:uid="{00000000-0010-0000-0100-000001000000}" name=" Tabla de Criterio de Alcance              "/>
    <tableColumn id="2" xr3:uid="{00000000-0010-0000-0100-000002000000}" name=" Peso "/>
    <tableColumn id="3" xr3:uid="{00000000-0010-0000-0100-000003000000}" name=" Qué mide                                                     "/>
  </tableColumns>
  <tableStyleInfo name="Pipeline de partner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18:K27" headerRowDxfId="2">
  <tableColumns count="4">
    <tableColumn id="1" xr3:uid="{00000000-0010-0000-0200-000001000000}" name=" Tabla de Criterio para Objetivización"/>
    <tableColumn id="2" xr3:uid="{00000000-0010-0000-0200-000002000000}" name=" Nota      "/>
    <tableColumn id="3" xr3:uid="{00000000-0010-0000-0200-000003000000}" name=" × Peso     "/>
    <tableColumn id="4" xr3:uid="{00000000-0010-0000-0200-000004000000}" name=" Puntos parciales             "/>
  </tableColumns>
  <tableStyleInfo name="Pipeline de partner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H12:I17" headerRowDxfId="1" headerRowCellStyle="Bueno">
  <tableColumns count="2">
    <tableColumn id="1" xr3:uid="{00000000-0010-0000-0300-000001000000}" name=" Puntuación "/>
    <tableColumn id="2" xr3:uid="{00000000-0010-0000-0300-000002000000}" name=" Descriptor genérico             "/>
  </tableColumns>
  <tableStyleInfo name="Pipeline de partner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H28:I32" headerRowDxfId="0" headerRowCellStyle="Énfasis5">
  <tableColumns count="2">
    <tableColumn id="1" xr3:uid="{00000000-0010-0000-0400-000001000000}" name=" Rango            "/>
    <tableColumn id="2" xr3:uid="{00000000-0010-0000-0400-000002000000}" name=" Acción                                                     "/>
  </tableColumns>
  <tableStyleInfo name="Pipeline de partner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F15">
  <tableColumns count="6">
    <tableColumn id="1" xr3:uid="{00000000-0010-0000-0600-000001000000}" name="Mes "/>
    <tableColumn id="2" xr3:uid="{00000000-0010-0000-0600-000002000000}" name=" Actividad "/>
    <tableColumn id="3" xr3:uid="{00000000-0010-0000-0600-000003000000}" name=" Costo Estimado (€) "/>
    <tableColumn id="4" xr3:uid="{00000000-0010-0000-0600-000004000000}" name=" Costo Real (€) "/>
    <tableColumn id="5" xr3:uid="{00000000-0010-0000-0600-000005000000}" name=" Variación (€) "/>
    <tableColumn id="6" xr3:uid="{00000000-0010-0000-0600-000006000000}" name=" Notas"/>
  </tableColumns>
  <tableStyleInfo name="Costes de Market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="51" workbookViewId="0">
      <selection activeCell="B3" sqref="B3:B24"/>
    </sheetView>
  </sheetViews>
  <sheetFormatPr baseColWidth="10" defaultColWidth="12.6640625" defaultRowHeight="15" customHeight="1" x14ac:dyDescent="0.3"/>
  <cols>
    <col min="1" max="1" width="51.77734375" bestFit="1" customWidth="1"/>
    <col min="2" max="2" width="42.44140625" bestFit="1" customWidth="1"/>
    <col min="3" max="3" width="27.44140625" bestFit="1" customWidth="1"/>
    <col min="4" max="4" width="32.21875" bestFit="1" customWidth="1"/>
    <col min="5" max="5" width="26.44140625" bestFit="1" customWidth="1"/>
    <col min="6" max="6" width="26.6640625" bestFit="1" customWidth="1"/>
    <col min="7" max="7" width="34.109375" bestFit="1" customWidth="1"/>
    <col min="8" max="8" width="152.88671875" bestFit="1" customWidth="1"/>
    <col min="9" max="9" width="63.109375" bestFit="1" customWidth="1"/>
    <col min="10" max="10" width="58.88671875" bestFit="1" customWidth="1"/>
    <col min="11" max="11" width="41.109375" bestFit="1" customWidth="1"/>
    <col min="12" max="12" width="18.44140625" customWidth="1"/>
    <col min="13" max="13" width="47.109375" customWidth="1"/>
    <col min="14" max="14" width="10.6640625" customWidth="1"/>
    <col min="15" max="15" width="22.77734375" customWidth="1"/>
    <col min="16" max="26" width="10.6640625" customWidth="1"/>
  </cols>
  <sheetData>
    <row r="1" spans="1:19" ht="63" x14ac:dyDescent="1.2">
      <c r="A1" s="23" t="s">
        <v>182</v>
      </c>
      <c r="H1" s="13" t="s">
        <v>6</v>
      </c>
    </row>
    <row r="2" spans="1:19" ht="23.4" x14ac:dyDescent="0.45">
      <c r="A2" s="22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</row>
    <row r="3" spans="1:19" ht="25.8" x14ac:dyDescent="0.5">
      <c r="A3" s="8">
        <v>1</v>
      </c>
      <c r="B3" s="8" t="s">
        <v>183</v>
      </c>
      <c r="C3" s="8" t="s">
        <v>7</v>
      </c>
      <c r="D3" s="8" t="s">
        <v>8</v>
      </c>
      <c r="E3" s="8"/>
      <c r="F3" s="8" t="str">
        <f t="shared" ref="F3:F24" si="0">IF(E3&gt;=80,"Gold",IF(E3&gt;=60,"Silver",IF(E3&gt;=40,"Bronze","No entra / Observación")))</f>
        <v>No entra / Observación</v>
      </c>
      <c r="H3" s="11" t="s">
        <v>159</v>
      </c>
      <c r="I3" s="11" t="s">
        <v>11</v>
      </c>
      <c r="J3" s="11" t="s">
        <v>12</v>
      </c>
      <c r="S3" s="7" t="s">
        <v>156</v>
      </c>
    </row>
    <row r="4" spans="1:19" ht="18" x14ac:dyDescent="0.35">
      <c r="A4" s="8">
        <v>2</v>
      </c>
      <c r="B4" s="8" t="s">
        <v>184</v>
      </c>
      <c r="C4" s="8" t="s">
        <v>9</v>
      </c>
      <c r="D4" s="8" t="s">
        <v>10</v>
      </c>
      <c r="E4" s="8"/>
      <c r="F4" s="8" t="str">
        <f t="shared" si="0"/>
        <v>No entra / Observación</v>
      </c>
      <c r="H4" s="1" t="s">
        <v>18</v>
      </c>
      <c r="I4" s="3">
        <v>0.25</v>
      </c>
      <c r="J4" s="2" t="s">
        <v>19</v>
      </c>
      <c r="S4" s="7" t="s">
        <v>157</v>
      </c>
    </row>
    <row r="5" spans="1:19" ht="18" x14ac:dyDescent="0.35">
      <c r="A5" s="8">
        <v>3</v>
      </c>
      <c r="B5" s="8" t="s">
        <v>185</v>
      </c>
      <c r="C5" s="8" t="s">
        <v>16</v>
      </c>
      <c r="D5" s="8" t="s">
        <v>17</v>
      </c>
      <c r="E5" s="8"/>
      <c r="F5" s="8" t="str">
        <f t="shared" si="0"/>
        <v>No entra / Observación</v>
      </c>
      <c r="H5" s="1" t="s">
        <v>26</v>
      </c>
      <c r="I5" s="3">
        <v>0.2</v>
      </c>
      <c r="J5" s="2" t="s">
        <v>27</v>
      </c>
      <c r="S5" s="7" t="s">
        <v>158</v>
      </c>
    </row>
    <row r="6" spans="1:19" ht="18" x14ac:dyDescent="0.35">
      <c r="A6" s="8">
        <v>4</v>
      </c>
      <c r="B6" s="8" t="s">
        <v>186</v>
      </c>
      <c r="C6" s="8" t="s">
        <v>24</v>
      </c>
      <c r="D6" s="8" t="s">
        <v>25</v>
      </c>
      <c r="E6" s="8"/>
      <c r="F6" s="8" t="str">
        <f t="shared" si="0"/>
        <v>No entra / Observación</v>
      </c>
      <c r="H6" s="1" t="s">
        <v>33</v>
      </c>
      <c r="I6" s="3">
        <v>0.15</v>
      </c>
      <c r="J6" s="2" t="s">
        <v>34</v>
      </c>
    </row>
    <row r="7" spans="1:19" ht="18" x14ac:dyDescent="0.35">
      <c r="A7" s="8">
        <v>5</v>
      </c>
      <c r="B7" s="8" t="s">
        <v>187</v>
      </c>
      <c r="C7" s="8" t="s">
        <v>31</v>
      </c>
      <c r="D7" s="8" t="s">
        <v>32</v>
      </c>
      <c r="E7" s="8"/>
      <c r="F7" s="8" t="str">
        <f t="shared" si="0"/>
        <v>No entra / Observación</v>
      </c>
      <c r="H7" s="1" t="s">
        <v>40</v>
      </c>
      <c r="I7" s="3">
        <v>0.15</v>
      </c>
      <c r="J7" s="2" t="s">
        <v>41</v>
      </c>
      <c r="S7" s="7" t="s">
        <v>161</v>
      </c>
    </row>
    <row r="8" spans="1:19" ht="18" x14ac:dyDescent="0.35">
      <c r="A8" s="8">
        <v>6</v>
      </c>
      <c r="B8" s="8" t="s">
        <v>188</v>
      </c>
      <c r="C8" s="8" t="s">
        <v>38</v>
      </c>
      <c r="D8" s="8" t="s">
        <v>39</v>
      </c>
      <c r="E8" s="8">
        <v>90</v>
      </c>
      <c r="F8" s="8" t="str">
        <f t="shared" si="0"/>
        <v>Gold</v>
      </c>
      <c r="H8" s="1" t="s">
        <v>46</v>
      </c>
      <c r="I8" s="3">
        <v>0.1</v>
      </c>
      <c r="J8" s="2" t="s">
        <v>47</v>
      </c>
      <c r="S8" s="7" t="s">
        <v>162</v>
      </c>
    </row>
    <row r="9" spans="1:19" ht="18" x14ac:dyDescent="0.35">
      <c r="A9" s="8">
        <v>7</v>
      </c>
      <c r="B9" s="8" t="s">
        <v>189</v>
      </c>
      <c r="C9" s="8" t="s">
        <v>44</v>
      </c>
      <c r="D9" s="8" t="s">
        <v>45</v>
      </c>
      <c r="E9" s="8"/>
      <c r="F9" s="8" t="str">
        <f t="shared" si="0"/>
        <v>No entra / Observación</v>
      </c>
      <c r="H9" s="1" t="s">
        <v>53</v>
      </c>
      <c r="I9" s="3">
        <v>0.1</v>
      </c>
      <c r="J9" s="2" t="s">
        <v>54</v>
      </c>
    </row>
    <row r="10" spans="1:19" ht="18" x14ac:dyDescent="0.35">
      <c r="A10" s="8">
        <v>8</v>
      </c>
      <c r="B10" s="8" t="s">
        <v>190</v>
      </c>
      <c r="C10" s="8" t="s">
        <v>51</v>
      </c>
      <c r="D10" s="8" t="s">
        <v>52</v>
      </c>
      <c r="E10" s="8"/>
      <c r="F10" s="8" t="str">
        <f t="shared" si="0"/>
        <v>No entra / Observación</v>
      </c>
      <c r="H10" s="1" t="s">
        <v>57</v>
      </c>
      <c r="I10" s="3">
        <v>0.05</v>
      </c>
      <c r="J10" s="2" t="s">
        <v>58</v>
      </c>
      <c r="S10">
        <v>1</v>
      </c>
    </row>
    <row r="11" spans="1:19" ht="47.4" x14ac:dyDescent="0.9">
      <c r="A11" s="8">
        <v>9</v>
      </c>
      <c r="B11" s="8" t="s">
        <v>191</v>
      </c>
      <c r="C11" s="8" t="s">
        <v>16</v>
      </c>
      <c r="D11" s="8" t="s">
        <v>56</v>
      </c>
      <c r="E11" s="8">
        <v>60</v>
      </c>
      <c r="F11" s="8" t="str">
        <f t="shared" si="0"/>
        <v>Silver</v>
      </c>
      <c r="H11" s="16" t="s">
        <v>155</v>
      </c>
      <c r="S11">
        <v>0</v>
      </c>
    </row>
    <row r="12" spans="1:19" ht="25.8" x14ac:dyDescent="0.5">
      <c r="A12" s="8">
        <v>10</v>
      </c>
      <c r="B12" s="8" t="s">
        <v>192</v>
      </c>
      <c r="C12" s="8" t="s">
        <v>62</v>
      </c>
      <c r="D12" s="8" t="s">
        <v>63</v>
      </c>
      <c r="E12" s="8"/>
      <c r="F12" s="8" t="str">
        <f t="shared" si="0"/>
        <v>No entra / Observación</v>
      </c>
      <c r="H12" s="14" t="s">
        <v>70</v>
      </c>
      <c r="I12" s="14" t="s">
        <v>71</v>
      </c>
    </row>
    <row r="13" spans="1:19" ht="18" x14ac:dyDescent="0.35">
      <c r="A13" s="8">
        <v>11</v>
      </c>
      <c r="B13" s="8" t="s">
        <v>193</v>
      </c>
      <c r="C13" s="8" t="s">
        <v>68</v>
      </c>
      <c r="D13" s="8" t="s">
        <v>69</v>
      </c>
      <c r="E13" s="8"/>
      <c r="F13" s="8" t="str">
        <f t="shared" si="0"/>
        <v>No entra / Observación</v>
      </c>
      <c r="H13" s="2">
        <v>10</v>
      </c>
      <c r="I13" s="2" t="s">
        <v>74</v>
      </c>
    </row>
    <row r="14" spans="1:19" ht="18" x14ac:dyDescent="0.35">
      <c r="A14" s="8">
        <v>12</v>
      </c>
      <c r="B14" s="8" t="s">
        <v>194</v>
      </c>
      <c r="C14" s="8" t="s">
        <v>72</v>
      </c>
      <c r="D14" s="8" t="s">
        <v>73</v>
      </c>
      <c r="E14" s="8"/>
      <c r="F14" s="8" t="str">
        <f t="shared" si="0"/>
        <v>No entra / Observación</v>
      </c>
      <c r="H14" s="2">
        <v>7</v>
      </c>
      <c r="I14" s="2" t="s">
        <v>79</v>
      </c>
    </row>
    <row r="15" spans="1:19" ht="18" x14ac:dyDescent="0.35">
      <c r="A15" s="8">
        <v>13</v>
      </c>
      <c r="B15" s="8" t="s">
        <v>195</v>
      </c>
      <c r="C15" s="8" t="s">
        <v>77</v>
      </c>
      <c r="D15" s="8" t="s">
        <v>78</v>
      </c>
      <c r="E15" s="8"/>
      <c r="F15" s="8" t="str">
        <f t="shared" si="0"/>
        <v>No entra / Observación</v>
      </c>
      <c r="H15" s="2">
        <v>4</v>
      </c>
      <c r="I15" s="2" t="s">
        <v>84</v>
      </c>
    </row>
    <row r="16" spans="1:19" ht="18" x14ac:dyDescent="0.35">
      <c r="A16" s="8">
        <v>14</v>
      </c>
      <c r="B16" s="8" t="s">
        <v>196</v>
      </c>
      <c r="C16" s="8" t="s">
        <v>82</v>
      </c>
      <c r="D16" s="8" t="s">
        <v>83</v>
      </c>
      <c r="E16" s="8"/>
      <c r="F16" s="8" t="str">
        <f t="shared" si="0"/>
        <v>No entra / Observación</v>
      </c>
      <c r="H16" s="2">
        <v>1</v>
      </c>
      <c r="I16" s="2" t="s">
        <v>89</v>
      </c>
    </row>
    <row r="17" spans="1:11" ht="47.4" x14ac:dyDescent="0.9">
      <c r="A17" s="8">
        <v>15</v>
      </c>
      <c r="B17" s="8" t="s">
        <v>197</v>
      </c>
      <c r="C17" s="8" t="s">
        <v>87</v>
      </c>
      <c r="D17" s="8" t="s">
        <v>88</v>
      </c>
      <c r="E17" s="8"/>
      <c r="F17" s="8" t="str">
        <f t="shared" si="0"/>
        <v>No entra / Observación</v>
      </c>
      <c r="H17" s="16" t="s">
        <v>155</v>
      </c>
    </row>
    <row r="18" spans="1:11" ht="28.8" x14ac:dyDescent="0.55000000000000004">
      <c r="A18" s="8">
        <v>16</v>
      </c>
      <c r="B18" s="8" t="s">
        <v>198</v>
      </c>
      <c r="C18" s="8" t="s">
        <v>92</v>
      </c>
      <c r="D18" s="8" t="s">
        <v>93</v>
      </c>
      <c r="E18" s="8"/>
      <c r="F18" s="8" t="str">
        <f t="shared" si="0"/>
        <v>No entra / Observación</v>
      </c>
      <c r="H18" s="12" t="s">
        <v>160</v>
      </c>
      <c r="I18" s="12" t="s">
        <v>13</v>
      </c>
      <c r="J18" s="12" t="s">
        <v>14</v>
      </c>
      <c r="K18" s="12" t="s">
        <v>15</v>
      </c>
    </row>
    <row r="19" spans="1:11" ht="18" x14ac:dyDescent="0.35">
      <c r="A19" s="8">
        <v>17</v>
      </c>
      <c r="B19" s="8" t="s">
        <v>199</v>
      </c>
      <c r="C19" s="8" t="s">
        <v>96</v>
      </c>
      <c r="D19" s="8" t="s">
        <v>97</v>
      </c>
      <c r="E19" s="8">
        <v>50</v>
      </c>
      <c r="F19" s="8" t="str">
        <f>IF(E19&gt;=80,"Gold",IF(E19&gt;=60,"Silver",IF(E19&gt;=40,"Bronze","No entra / Observación")))</f>
        <v>Bronze</v>
      </c>
      <c r="H19" s="2" t="s">
        <v>20</v>
      </c>
      <c r="I19" s="2" t="s">
        <v>21</v>
      </c>
      <c r="J19" s="2" t="s">
        <v>22</v>
      </c>
      <c r="K19" s="2" t="s">
        <v>23</v>
      </c>
    </row>
    <row r="20" spans="1:11" ht="36" x14ac:dyDescent="0.35">
      <c r="A20" s="8">
        <v>18</v>
      </c>
      <c r="B20" s="8" t="s">
        <v>200</v>
      </c>
      <c r="C20" s="9" t="s">
        <v>149</v>
      </c>
      <c r="D20" s="8"/>
      <c r="E20" s="8">
        <v>20</v>
      </c>
      <c r="F20" s="8" t="str">
        <f t="shared" si="0"/>
        <v>No entra / Observación</v>
      </c>
      <c r="H20" s="2" t="s">
        <v>28</v>
      </c>
      <c r="I20" s="2" t="s">
        <v>29</v>
      </c>
      <c r="J20" s="2" t="s">
        <v>30</v>
      </c>
      <c r="K20" s="2" t="s">
        <v>23</v>
      </c>
    </row>
    <row r="21" spans="1:11" ht="18" x14ac:dyDescent="0.35">
      <c r="A21" s="8">
        <v>19</v>
      </c>
      <c r="B21" s="8" t="s">
        <v>201</v>
      </c>
      <c r="C21" s="8" t="s">
        <v>98</v>
      </c>
      <c r="D21" s="8" t="s">
        <v>99</v>
      </c>
      <c r="E21" s="8"/>
      <c r="F21" s="8" t="str">
        <f t="shared" si="0"/>
        <v>No entra / Observación</v>
      </c>
      <c r="H21" s="2" t="s">
        <v>35</v>
      </c>
      <c r="I21" s="2" t="s">
        <v>36</v>
      </c>
      <c r="J21" s="2" t="s">
        <v>37</v>
      </c>
      <c r="K21" s="2" t="s">
        <v>23</v>
      </c>
    </row>
    <row r="22" spans="1:11" ht="36" x14ac:dyDescent="0.35">
      <c r="A22" s="8">
        <v>20</v>
      </c>
      <c r="B22" s="8" t="s">
        <v>202</v>
      </c>
      <c r="C22" s="9" t="s">
        <v>151</v>
      </c>
      <c r="D22" s="8"/>
      <c r="E22" s="8"/>
      <c r="F22" s="8" t="str">
        <f t="shared" si="0"/>
        <v>No entra / Observación</v>
      </c>
      <c r="H22" s="2" t="s">
        <v>42</v>
      </c>
      <c r="I22" s="2" t="s">
        <v>36</v>
      </c>
      <c r="J22" s="2" t="s">
        <v>43</v>
      </c>
      <c r="K22" s="2" t="s">
        <v>23</v>
      </c>
    </row>
    <row r="23" spans="1:11" ht="36" x14ac:dyDescent="0.35">
      <c r="A23" s="8">
        <v>21</v>
      </c>
      <c r="B23" s="8" t="s">
        <v>203</v>
      </c>
      <c r="C23" s="9" t="s">
        <v>153</v>
      </c>
      <c r="D23" s="8"/>
      <c r="E23" s="8">
        <v>80</v>
      </c>
      <c r="F23" s="8" t="str">
        <f t="shared" si="0"/>
        <v>Gold</v>
      </c>
      <c r="H23" s="2" t="s">
        <v>48</v>
      </c>
      <c r="I23" s="2" t="s">
        <v>49</v>
      </c>
      <c r="J23" s="2" t="s">
        <v>50</v>
      </c>
      <c r="K23" s="2" t="s">
        <v>23</v>
      </c>
    </row>
    <row r="24" spans="1:11" ht="14.25" customHeight="1" x14ac:dyDescent="0.35">
      <c r="A24" s="8">
        <v>22</v>
      </c>
      <c r="B24" s="8" t="s">
        <v>204</v>
      </c>
      <c r="C24" s="9" t="s">
        <v>154</v>
      </c>
      <c r="D24" s="8"/>
      <c r="E24" s="8"/>
      <c r="F24" s="8" t="str">
        <f t="shared" si="0"/>
        <v>No entra / Observación</v>
      </c>
      <c r="H24" s="2" t="s">
        <v>55</v>
      </c>
      <c r="I24" s="2" t="s">
        <v>49</v>
      </c>
      <c r="J24" s="2" t="s">
        <v>50</v>
      </c>
      <c r="K24" s="2" t="s">
        <v>23</v>
      </c>
    </row>
    <row r="25" spans="1:11" ht="14.25" customHeight="1" x14ac:dyDescent="0.35">
      <c r="A25" s="8"/>
      <c r="B25" s="8"/>
      <c r="C25" s="8"/>
      <c r="D25" s="8"/>
      <c r="E25" s="8"/>
      <c r="F25" s="8"/>
      <c r="H25" s="2" t="s">
        <v>59</v>
      </c>
      <c r="I25" s="2" t="s">
        <v>60</v>
      </c>
      <c r="J25" s="2" t="s">
        <v>61</v>
      </c>
      <c r="K25" s="2" t="s">
        <v>23</v>
      </c>
    </row>
    <row r="26" spans="1:11" ht="18.600000000000001" thickBot="1" x14ac:dyDescent="0.4">
      <c r="A26" s="8"/>
      <c r="B26" s="8"/>
      <c r="C26" s="8"/>
      <c r="D26" s="8"/>
      <c r="E26" s="8"/>
      <c r="F26" s="8"/>
      <c r="H26" s="1" t="s">
        <v>64</v>
      </c>
      <c r="I26" s="1" t="s">
        <v>65</v>
      </c>
      <c r="J26" s="1" t="s">
        <v>66</v>
      </c>
      <c r="K26" s="1" t="s">
        <v>67</v>
      </c>
    </row>
    <row r="27" spans="1:11" ht="48" thickBot="1" x14ac:dyDescent="0.95">
      <c r="A27" s="17" t="s">
        <v>163</v>
      </c>
      <c r="B27" s="17" t="s">
        <v>164</v>
      </c>
      <c r="C27" s="17" t="s">
        <v>165</v>
      </c>
      <c r="F27" s="9"/>
      <c r="G27" s="6"/>
      <c r="H27" s="16" t="s">
        <v>155</v>
      </c>
    </row>
    <row r="28" spans="1:11" ht="42" thickBot="1" x14ac:dyDescent="0.7">
      <c r="A28" s="17" t="s">
        <v>166</v>
      </c>
      <c r="B28" s="18">
        <v>35</v>
      </c>
      <c r="C28" s="18" t="s">
        <v>167</v>
      </c>
      <c r="F28" s="9"/>
      <c r="G28" s="6"/>
      <c r="H28" s="15" t="s">
        <v>75</v>
      </c>
      <c r="I28" s="15" t="s">
        <v>76</v>
      </c>
    </row>
    <row r="29" spans="1:11" ht="14.25" customHeight="1" thickBot="1" x14ac:dyDescent="0.35">
      <c r="A29" s="17" t="s">
        <v>168</v>
      </c>
      <c r="B29" s="18">
        <v>30</v>
      </c>
      <c r="C29" s="18" t="s">
        <v>169</v>
      </c>
      <c r="F29" s="9"/>
      <c r="G29" s="6"/>
      <c r="H29" s="1" t="s">
        <v>80</v>
      </c>
      <c r="I29" s="2" t="s">
        <v>81</v>
      </c>
    </row>
    <row r="30" spans="1:11" ht="14.25" customHeight="1" thickBot="1" x14ac:dyDescent="0.4">
      <c r="A30" s="17" t="s">
        <v>170</v>
      </c>
      <c r="B30" s="18">
        <v>20</v>
      </c>
      <c r="C30" s="18" t="s">
        <v>171</v>
      </c>
      <c r="F30" s="8"/>
      <c r="H30" s="1" t="s">
        <v>85</v>
      </c>
      <c r="I30" s="2" t="s">
        <v>86</v>
      </c>
    </row>
    <row r="31" spans="1:11" ht="14.25" customHeight="1" thickBot="1" x14ac:dyDescent="0.4">
      <c r="A31" s="17" t="s">
        <v>172</v>
      </c>
      <c r="B31" s="18">
        <v>15</v>
      </c>
      <c r="C31" s="18" t="s">
        <v>173</v>
      </c>
      <c r="D31" s="7" t="s">
        <v>181</v>
      </c>
      <c r="F31" s="8"/>
      <c r="H31" s="1" t="s">
        <v>90</v>
      </c>
      <c r="I31" s="2" t="s">
        <v>91</v>
      </c>
    </row>
    <row r="32" spans="1:11" ht="14.25" customHeight="1" x14ac:dyDescent="0.35">
      <c r="A32" s="8"/>
      <c r="B32" s="8"/>
      <c r="C32" s="8"/>
      <c r="D32" s="8"/>
      <c r="E32" s="8"/>
      <c r="F32" s="8"/>
      <c r="H32" s="1" t="s">
        <v>94</v>
      </c>
      <c r="I32" s="2" t="s">
        <v>95</v>
      </c>
    </row>
    <row r="33" spans="1:7" ht="14.25" customHeight="1" x14ac:dyDescent="0.3">
      <c r="A33" s="19" t="s">
        <v>174</v>
      </c>
      <c r="B33" s="19" t="s">
        <v>175</v>
      </c>
      <c r="C33" s="19" t="s">
        <v>176</v>
      </c>
      <c r="D33" s="19" t="s">
        <v>177</v>
      </c>
      <c r="E33" s="19" t="s">
        <v>178</v>
      </c>
      <c r="F33" s="19" t="s">
        <v>179</v>
      </c>
      <c r="G33" s="19" t="s">
        <v>180</v>
      </c>
    </row>
    <row r="34" spans="1:7" ht="14.25" customHeight="1" x14ac:dyDescent="0.3">
      <c r="A34" s="20" t="s">
        <v>150</v>
      </c>
      <c r="B34" s="19">
        <v>1</v>
      </c>
      <c r="C34" s="19">
        <v>0</v>
      </c>
      <c r="D34" s="19">
        <v>0</v>
      </c>
      <c r="E34" s="19">
        <v>1</v>
      </c>
      <c r="F34" s="19">
        <f>(B34*35)+(C34*15)+(D34*20)+(E34*30)</f>
        <v>65</v>
      </c>
      <c r="G34" s="21" t="str">
        <f>IF(F34&gt;=80, "PROSPECCIÓN INMEDIATA", IF(F34&gt;=50, "SEGUIMIENTO SOFT", "DESCARTAR/NURTURING"))</f>
        <v>SEGUIMIENTO SOFT</v>
      </c>
    </row>
    <row r="35" spans="1:7" ht="14.25" customHeight="1" x14ac:dyDescent="0.3">
      <c r="A35" s="20" t="s">
        <v>152</v>
      </c>
      <c r="B35" s="19">
        <v>1</v>
      </c>
      <c r="C35" s="19">
        <v>1</v>
      </c>
      <c r="D35" s="19">
        <v>1</v>
      </c>
      <c r="E35" s="19">
        <v>1</v>
      </c>
      <c r="F35" s="19">
        <f t="shared" ref="F35:F44" si="1">(B35*35)+(C35*15)+(D35*20)+(E35*30)</f>
        <v>100</v>
      </c>
      <c r="G35" s="21" t="str">
        <f t="shared" ref="G35:G44" si="2">IF(F35&gt;=80, "PROSPECCIÓN INMEDIATA", IF(F35&gt;=50, "SEGUIMIENTO SOFT", "DESCARTAR/NURTURING"))</f>
        <v>PROSPECCIÓN INMEDIATA</v>
      </c>
    </row>
    <row r="36" spans="1:7" ht="14.25" customHeight="1" x14ac:dyDescent="0.3">
      <c r="A36" s="19"/>
      <c r="B36" s="19">
        <v>1</v>
      </c>
      <c r="C36" s="19"/>
      <c r="D36" s="19"/>
      <c r="E36" s="19"/>
      <c r="F36" s="19">
        <f t="shared" si="1"/>
        <v>35</v>
      </c>
      <c r="G36" s="21" t="str">
        <f t="shared" si="2"/>
        <v>DESCARTAR/NURTURING</v>
      </c>
    </row>
    <row r="37" spans="1:7" ht="14.25" customHeight="1" x14ac:dyDescent="0.3">
      <c r="A37" s="19"/>
      <c r="B37" s="19">
        <v>1</v>
      </c>
      <c r="C37" s="19"/>
      <c r="D37" s="19"/>
      <c r="E37" s="19"/>
      <c r="F37" s="19">
        <f t="shared" si="1"/>
        <v>35</v>
      </c>
      <c r="G37" s="21" t="str">
        <f t="shared" si="2"/>
        <v>DESCARTAR/NURTURING</v>
      </c>
    </row>
    <row r="38" spans="1:7" ht="14.25" customHeight="1" x14ac:dyDescent="0.3">
      <c r="A38" s="19"/>
      <c r="B38" s="19">
        <v>1</v>
      </c>
      <c r="C38" s="19"/>
      <c r="D38" s="19"/>
      <c r="E38" s="19"/>
      <c r="F38" s="19">
        <f t="shared" si="1"/>
        <v>35</v>
      </c>
      <c r="G38" s="21" t="str">
        <f t="shared" si="2"/>
        <v>DESCARTAR/NURTURING</v>
      </c>
    </row>
    <row r="39" spans="1:7" ht="14.25" customHeight="1" x14ac:dyDescent="0.3">
      <c r="A39" s="19"/>
      <c r="B39" s="19">
        <v>1</v>
      </c>
      <c r="C39" s="19"/>
      <c r="D39" s="19"/>
      <c r="E39" s="19"/>
      <c r="F39" s="19">
        <f t="shared" si="1"/>
        <v>35</v>
      </c>
      <c r="G39" s="21" t="str">
        <f t="shared" si="2"/>
        <v>DESCARTAR/NURTURING</v>
      </c>
    </row>
    <row r="40" spans="1:7" ht="14.25" customHeight="1" x14ac:dyDescent="0.3">
      <c r="A40" s="19"/>
      <c r="B40" s="19">
        <v>0</v>
      </c>
      <c r="C40" s="19"/>
      <c r="D40" s="19"/>
      <c r="E40" s="19"/>
      <c r="F40" s="19">
        <f t="shared" si="1"/>
        <v>0</v>
      </c>
      <c r="G40" s="21" t="str">
        <f t="shared" si="2"/>
        <v>DESCARTAR/NURTURING</v>
      </c>
    </row>
    <row r="41" spans="1:7" ht="14.25" customHeight="1" x14ac:dyDescent="0.3">
      <c r="A41" s="19"/>
      <c r="B41" s="19">
        <v>0</v>
      </c>
      <c r="C41" s="19"/>
      <c r="D41" s="19"/>
      <c r="E41" s="19"/>
      <c r="F41" s="19">
        <f t="shared" si="1"/>
        <v>0</v>
      </c>
      <c r="G41" s="21" t="str">
        <f t="shared" si="2"/>
        <v>DESCARTAR/NURTURING</v>
      </c>
    </row>
    <row r="42" spans="1:7" ht="14.25" customHeight="1" x14ac:dyDescent="0.3">
      <c r="A42" s="19"/>
      <c r="B42" s="19">
        <v>0</v>
      </c>
      <c r="C42" s="19"/>
      <c r="D42" s="19"/>
      <c r="E42" s="19"/>
      <c r="F42" s="19">
        <f t="shared" si="1"/>
        <v>0</v>
      </c>
      <c r="G42" s="21" t="str">
        <f t="shared" si="2"/>
        <v>DESCARTAR/NURTURING</v>
      </c>
    </row>
    <row r="43" spans="1:7" ht="14.25" customHeight="1" x14ac:dyDescent="0.3">
      <c r="A43" s="19"/>
      <c r="B43" s="19">
        <v>0</v>
      </c>
      <c r="C43" s="19"/>
      <c r="D43" s="19"/>
      <c r="E43" s="19"/>
      <c r="F43" s="19">
        <f t="shared" si="1"/>
        <v>0</v>
      </c>
      <c r="G43" s="21" t="str">
        <f t="shared" si="2"/>
        <v>DESCARTAR/NURTURING</v>
      </c>
    </row>
    <row r="44" spans="1:7" ht="14.25" customHeight="1" x14ac:dyDescent="0.3">
      <c r="A44" s="19"/>
      <c r="B44" s="19">
        <v>0</v>
      </c>
      <c r="C44" s="19"/>
      <c r="D44" s="19"/>
      <c r="E44" s="19"/>
      <c r="F44" s="19">
        <f t="shared" si="1"/>
        <v>0</v>
      </c>
      <c r="G44" s="21" t="str">
        <f t="shared" si="2"/>
        <v>DESCARTAR/NURTURING</v>
      </c>
    </row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20" type="noConversion"/>
  <dataValidations count="1">
    <dataValidation type="list" allowBlank="1" showInputMessage="1" showErrorMessage="1" sqref="B34:B44 C34:E49 F45:F49" xr:uid="{C26924A4-909F-4837-AFF9-EFDA321EF80C}">
      <formula1>$S$10:$S$11</formula1>
    </dataValidation>
  </dataValidations>
  <pageMargins left="0.7" right="0.7" top="0.75" bottom="0.75" header="0" footer="0"/>
  <pageSetup orientation="landscape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D14" sqref="D14"/>
    </sheetView>
  </sheetViews>
  <sheetFormatPr baseColWidth="10" defaultColWidth="12.6640625" defaultRowHeight="15" customHeight="1" x14ac:dyDescent="0.3"/>
  <cols>
    <col min="1" max="1" width="17.109375" customWidth="1"/>
    <col min="2" max="2" width="29.44140625" customWidth="1"/>
    <col min="3" max="3" width="23.44140625" customWidth="1"/>
    <col min="4" max="4" width="37.44140625" customWidth="1"/>
    <col min="5" max="6" width="25.33203125" customWidth="1"/>
    <col min="7" max="26" width="10.6640625" customWidth="1"/>
  </cols>
  <sheetData>
    <row r="1" spans="1:6" ht="14.25" customHeight="1" x14ac:dyDescent="0.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 ht="14.25" customHeight="1" x14ac:dyDescent="0.3">
      <c r="A2" s="2" t="s">
        <v>106</v>
      </c>
      <c r="B2" s="2" t="s">
        <v>107</v>
      </c>
      <c r="C2" s="4">
        <v>0</v>
      </c>
      <c r="D2" s="4"/>
      <c r="E2" s="4">
        <f t="shared" ref="E2:E14" si="0">D2-C2</f>
        <v>0</v>
      </c>
      <c r="F2" s="2" t="s">
        <v>108</v>
      </c>
    </row>
    <row r="3" spans="1:6" ht="14.25" customHeight="1" x14ac:dyDescent="0.3">
      <c r="A3" s="2" t="s">
        <v>106</v>
      </c>
      <c r="B3" s="2" t="s">
        <v>109</v>
      </c>
      <c r="C3" s="4">
        <v>0</v>
      </c>
      <c r="D3" s="2"/>
      <c r="E3" s="4">
        <f t="shared" si="0"/>
        <v>0</v>
      </c>
      <c r="F3" s="2" t="s">
        <v>110</v>
      </c>
    </row>
    <row r="4" spans="1:6" ht="14.25" customHeight="1" x14ac:dyDescent="0.3">
      <c r="A4" s="2" t="s">
        <v>106</v>
      </c>
      <c r="B4" s="2" t="s">
        <v>111</v>
      </c>
      <c r="C4" s="4">
        <v>0</v>
      </c>
      <c r="D4" s="2"/>
      <c r="E4" s="4">
        <f t="shared" si="0"/>
        <v>0</v>
      </c>
      <c r="F4" s="2" t="s">
        <v>112</v>
      </c>
    </row>
    <row r="5" spans="1:6" ht="14.25" customHeight="1" x14ac:dyDescent="0.3">
      <c r="A5" s="2" t="s">
        <v>113</v>
      </c>
      <c r="B5" s="2" t="s">
        <v>114</v>
      </c>
      <c r="C5" s="4">
        <v>0</v>
      </c>
      <c r="D5" s="2"/>
      <c r="E5" s="4">
        <f t="shared" si="0"/>
        <v>0</v>
      </c>
      <c r="F5" s="2" t="s">
        <v>115</v>
      </c>
    </row>
    <row r="6" spans="1:6" ht="14.25" customHeight="1" x14ac:dyDescent="0.3">
      <c r="A6" s="2" t="s">
        <v>113</v>
      </c>
      <c r="B6" s="2" t="s">
        <v>116</v>
      </c>
      <c r="C6" s="4">
        <v>0</v>
      </c>
      <c r="D6" s="2"/>
      <c r="E6" s="4">
        <f t="shared" si="0"/>
        <v>0</v>
      </c>
      <c r="F6" s="2" t="s">
        <v>117</v>
      </c>
    </row>
    <row r="7" spans="1:6" ht="14.25" customHeight="1" x14ac:dyDescent="0.3">
      <c r="A7" s="2" t="s">
        <v>118</v>
      </c>
      <c r="B7" s="2" t="s">
        <v>119</v>
      </c>
      <c r="C7" s="4">
        <v>0</v>
      </c>
      <c r="D7" s="2"/>
      <c r="E7" s="4">
        <f t="shared" si="0"/>
        <v>0</v>
      </c>
      <c r="F7" s="2" t="s">
        <v>120</v>
      </c>
    </row>
    <row r="8" spans="1:6" ht="14.25" customHeight="1" x14ac:dyDescent="0.3">
      <c r="A8" s="2" t="s">
        <v>118</v>
      </c>
      <c r="B8" s="2" t="s">
        <v>121</v>
      </c>
      <c r="C8" s="4">
        <v>0</v>
      </c>
      <c r="D8" s="2"/>
      <c r="E8" s="4">
        <f t="shared" si="0"/>
        <v>0</v>
      </c>
      <c r="F8" s="2" t="s">
        <v>122</v>
      </c>
    </row>
    <row r="9" spans="1:6" ht="14.25" customHeight="1" x14ac:dyDescent="0.3">
      <c r="A9" s="2" t="s">
        <v>123</v>
      </c>
      <c r="B9" s="2" t="s">
        <v>124</v>
      </c>
      <c r="C9" s="4">
        <v>0</v>
      </c>
      <c r="D9" s="2"/>
      <c r="E9" s="4">
        <f t="shared" si="0"/>
        <v>0</v>
      </c>
      <c r="F9" s="2" t="s">
        <v>115</v>
      </c>
    </row>
    <row r="10" spans="1:6" ht="14.25" customHeight="1" x14ac:dyDescent="0.3">
      <c r="A10" s="2" t="s">
        <v>123</v>
      </c>
      <c r="B10" s="2" t="s">
        <v>125</v>
      </c>
      <c r="C10" s="4">
        <v>0</v>
      </c>
      <c r="D10" s="2"/>
      <c r="E10" s="4">
        <f t="shared" si="0"/>
        <v>0</v>
      </c>
      <c r="F10" s="2" t="s">
        <v>126</v>
      </c>
    </row>
    <row r="11" spans="1:6" ht="14.25" customHeight="1" x14ac:dyDescent="0.3">
      <c r="A11" s="2" t="s">
        <v>127</v>
      </c>
      <c r="B11" s="2" t="s">
        <v>128</v>
      </c>
      <c r="C11" s="4">
        <v>50</v>
      </c>
      <c r="D11" s="2"/>
      <c r="E11" s="4">
        <f t="shared" si="0"/>
        <v>-50</v>
      </c>
      <c r="F11" s="2" t="s">
        <v>129</v>
      </c>
    </row>
    <row r="12" spans="1:6" ht="14.25" customHeight="1" x14ac:dyDescent="0.3">
      <c r="A12" s="2" t="s">
        <v>127</v>
      </c>
      <c r="B12" s="2" t="s">
        <v>130</v>
      </c>
      <c r="C12" s="4">
        <v>50</v>
      </c>
      <c r="D12" s="2"/>
      <c r="E12" s="4">
        <f t="shared" si="0"/>
        <v>-50</v>
      </c>
      <c r="F12" s="2" t="s">
        <v>131</v>
      </c>
    </row>
    <row r="13" spans="1:6" ht="14.25" customHeight="1" x14ac:dyDescent="0.3">
      <c r="A13" s="2" t="s">
        <v>132</v>
      </c>
      <c r="B13" s="2" t="s">
        <v>133</v>
      </c>
      <c r="C13" s="4">
        <v>200</v>
      </c>
      <c r="D13" s="2"/>
      <c r="E13" s="4">
        <f t="shared" si="0"/>
        <v>-200</v>
      </c>
      <c r="F13" s="2" t="s">
        <v>134</v>
      </c>
    </row>
    <row r="14" spans="1:6" ht="14.25" customHeight="1" x14ac:dyDescent="0.3">
      <c r="A14" s="2" t="s">
        <v>132</v>
      </c>
      <c r="B14" s="2" t="s">
        <v>135</v>
      </c>
      <c r="C14" s="4">
        <v>300</v>
      </c>
      <c r="D14" s="2"/>
      <c r="E14" s="4">
        <f t="shared" si="0"/>
        <v>-300</v>
      </c>
      <c r="F14" s="2" t="s">
        <v>136</v>
      </c>
    </row>
    <row r="15" spans="1:6" ht="14.25" customHeight="1" x14ac:dyDescent="0.3">
      <c r="A15" s="2"/>
      <c r="B15" s="2"/>
      <c r="C15" s="5">
        <f>SUM(C2:C14)</f>
        <v>600</v>
      </c>
      <c r="D15" s="2"/>
      <c r="E15" s="2"/>
      <c r="F15" s="2"/>
    </row>
    <row r="16" spans="1:6" ht="14.25" customHeight="1" x14ac:dyDescent="0.3"/>
    <row r="17" spans="1:4" ht="14.25" customHeight="1" x14ac:dyDescent="0.3"/>
    <row r="18" spans="1:4" ht="14.25" customHeight="1" x14ac:dyDescent="0.3">
      <c r="A18" s="2" t="s">
        <v>137</v>
      </c>
      <c r="B18" s="2" t="s">
        <v>138</v>
      </c>
      <c r="C18" s="2" t="s">
        <v>139</v>
      </c>
      <c r="D18" s="2" t="s">
        <v>140</v>
      </c>
    </row>
    <row r="19" spans="1:4" ht="14.25" customHeight="1" x14ac:dyDescent="0.3">
      <c r="A19" s="2" t="s">
        <v>141</v>
      </c>
      <c r="B19" s="2" t="s">
        <v>142</v>
      </c>
      <c r="C19" s="2">
        <v>0</v>
      </c>
    </row>
    <row r="20" spans="1:4" ht="14.25" customHeight="1" x14ac:dyDescent="0.3">
      <c r="A20" s="2" t="s">
        <v>143</v>
      </c>
      <c r="B20" s="2" t="s">
        <v>144</v>
      </c>
      <c r="C20" s="2">
        <v>0</v>
      </c>
    </row>
    <row r="21" spans="1:4" ht="14.25" customHeight="1" x14ac:dyDescent="0.3">
      <c r="A21" s="2" t="s">
        <v>145</v>
      </c>
      <c r="B21" s="2" t="s">
        <v>146</v>
      </c>
      <c r="C21" s="2">
        <v>50</v>
      </c>
    </row>
    <row r="22" spans="1:4" ht="14.25" customHeight="1" x14ac:dyDescent="0.3">
      <c r="A22" s="2" t="s">
        <v>147</v>
      </c>
      <c r="B22" s="2" t="s">
        <v>148</v>
      </c>
      <c r="C22" s="2">
        <v>500</v>
      </c>
    </row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Lead Scoring</vt:lpstr>
      <vt:lpstr>Costes de 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Romero</dc:creator>
  <cp:lastModifiedBy>Anderson Romero</cp:lastModifiedBy>
  <dcterms:created xsi:type="dcterms:W3CDTF">2025-11-19T19:57:18Z</dcterms:created>
  <dcterms:modified xsi:type="dcterms:W3CDTF">2026-03-17T20:23:51Z</dcterms:modified>
</cp:coreProperties>
</file>